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rit\Downloads\"/>
    </mc:Choice>
  </mc:AlternateContent>
  <xr:revisionPtr revIDLastSave="0" documentId="13_ncr:1_{8DBA0990-BF4E-463B-85C4-440A5AD81158}" xr6:coauthVersionLast="47" xr6:coauthVersionMax="47" xr10:uidLastSave="{00000000-0000-0000-0000-000000000000}"/>
  <bookViews>
    <workbookView xWindow="-96" yWindow="-96" windowWidth="23232" windowHeight="12432" xr2:uid="{942EBA18-2ED6-45E9-ACC7-922238698EC2}"/>
  </bookViews>
  <sheets>
    <sheet name="raw_data_check" sheetId="3" r:id="rId1"/>
    <sheet name="missing_value" sheetId="1" r:id="rId2"/>
    <sheet name="group_count" sheetId="2" r:id="rId3"/>
    <sheet name="duplicate_check" sheetId="7" r:id="rId4"/>
    <sheet name="Invalid binary values" sheetId="8" r:id="rId5"/>
    <sheet name="outlier_check_revenue" sheetId="9" r:id="rId6"/>
    <sheet name="Pivot_analysis" sheetId="12" r:id="rId7"/>
    <sheet name="segment_distribution" sheetId="10" r:id="rId8"/>
    <sheet name="Hypothesis_analysis" sheetId="13" r:id="rId9"/>
    <sheet name="hypothesis_test_output" sheetId="14" r:id="rId10"/>
  </sheets>
  <definedNames>
    <definedName name="_xlnm._FilterDatabase" localSheetId="0" hidden="1">raw_data_check!$C$1:$C$1401</definedName>
  </definedNames>
  <calcPr calcId="191029"/>
  <pivotCaches>
    <pivotCache cacheId="0" r:id="rId11"/>
    <pivotCache cacheId="1" r:id="rId12"/>
    <pivotCache cacheId="2" r:id="rId13"/>
    <pivotCache cacheId="5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3" l="1"/>
  <c r="S3" i="3"/>
  <c r="S2" i="3"/>
  <c r="R4" i="3"/>
  <c r="C4" i="2"/>
  <c r="C2" i="2"/>
  <c r="C3" i="2"/>
  <c r="R5" i="3"/>
  <c r="R6" i="3"/>
  <c r="R3" i="3"/>
  <c r="R2" i="3"/>
</calcChain>
</file>

<file path=xl/sharedStrings.xml><?xml version="1.0" encoding="utf-8"?>
<sst xmlns="http://schemas.openxmlformats.org/spreadsheetml/2006/main" count="8619" uniqueCount="1521">
  <si>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</si>
  <si>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</si>
  <si>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</si>
  <si>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</si>
  <si>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</si>
  <si>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</si>
  <si>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</si>
  <si>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</si>
  <si>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</si>
  <si>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</si>
  <si>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</si>
  <si>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</si>
  <si>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</si>
  <si>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</si>
  <si>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</si>
  <si>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</si>
  <si>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</si>
  <si>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</si>
  <si>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</si>
  <si>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</si>
  <si>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</si>
  <si>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</si>
  <si>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</si>
  <si>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</si>
  <si>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</si>
  <si>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</si>
  <si>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</si>
  <si>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</si>
  <si>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</si>
  <si>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</si>
  <si>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</si>
  <si>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</si>
  <si>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</si>
  <si>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</si>
  <si>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</si>
  <si>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</si>
  <si>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</si>
  <si>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</si>
  <si>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</si>
  <si>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</si>
  <si>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</si>
  <si>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</si>
  <si>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</si>
  <si>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</si>
  <si>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</si>
  <si>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</si>
  <si>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</si>
  <si>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</si>
  <si>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</si>
  <si>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</si>
  <si>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</si>
  <si>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</si>
  <si>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</si>
  <si>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</si>
  <si>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</si>
  <si>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</si>
  <si>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</si>
  <si>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</si>
  <si>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</si>
  <si>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</si>
  <si>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</si>
  <si>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</si>
  <si>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</si>
  <si>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</si>
  <si>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</si>
  <si>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</si>
  <si>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</si>
  <si>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</si>
  <si>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</si>
  <si>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</si>
  <si>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</si>
  <si>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</si>
  <si>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</si>
  <si>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</si>
  <si>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</si>
  <si>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</si>
  <si>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</si>
  <si>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</si>
  <si>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</si>
  <si>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</si>
  <si>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</si>
  <si>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</si>
  <si>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</si>
  <si>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</si>
  <si>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</si>
  <si>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</si>
  <si>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</si>
  <si>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</si>
  <si>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</si>
  <si>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</si>
  <si>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</si>
  <si>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</si>
  <si>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</si>
  <si>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</si>
  <si>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</si>
  <si>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</si>
  <si>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</si>
  <si>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</si>
  <si>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</si>
  <si>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</si>
  <si>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</si>
  <si>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</si>
  <si>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</si>
  <si>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</si>
  <si>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</si>
  <si>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</si>
  <si>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</si>
  <si>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</si>
  <si>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</si>
  <si>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</si>
  <si>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</si>
  <si>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</si>
  <si>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</si>
  <si>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</si>
  <si>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</si>
  <si>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</si>
  <si>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</si>
  <si>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</si>
  <si>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</si>
  <si>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</si>
  <si>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</si>
  <si>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</si>
  <si>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</si>
  <si>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</si>
  <si>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</si>
  <si>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</si>
  <si>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</si>
  <si>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</si>
  <si>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</si>
  <si>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</si>
  <si>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</si>
  <si>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</si>
  <si>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</si>
  <si>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</si>
  <si>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</si>
  <si>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</si>
  <si>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</si>
  <si>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</si>
  <si>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</si>
  <si>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</si>
  <si>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</si>
  <si>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</si>
  <si>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</si>
  <si>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</si>
  <si>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</si>
  <si>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</si>
  <si>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</si>
  <si>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</si>
  <si>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</si>
  <si>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</si>
  <si>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</si>
  <si>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</si>
  <si>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</si>
  <si>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</si>
  <si>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</si>
  <si>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</si>
  <si>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</si>
  <si>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</si>
  <si>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</si>
  <si>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</si>
  <si>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</si>
  <si>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</si>
  <si>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</si>
  <si>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</si>
  <si>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</si>
  <si>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</si>
  <si>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</si>
  <si>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</si>
  <si>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</si>
  <si>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</si>
  <si>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</si>
  <si>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</si>
  <si>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</si>
  <si>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</si>
  <si>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</si>
  <si>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</si>
  <si>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</si>
  <si>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</si>
  <si>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</si>
  <si>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</si>
  <si>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</si>
  <si>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</si>
  <si>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</si>
  <si>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</si>
  <si>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</si>
  <si>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</si>
  <si>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</si>
  <si>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</si>
  <si>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</si>
  <si>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</si>
  <si>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</si>
  <si>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</si>
  <si>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</si>
  <si>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</si>
  <si>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</si>
  <si>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</si>
  <si>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</si>
  <si>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</si>
  <si>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</si>
  <si>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</si>
  <si>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</si>
  <si>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</si>
  <si>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</si>
  <si>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</si>
  <si>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</si>
  <si>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</si>
  <si>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</si>
  <si>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</si>
  <si>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</si>
  <si>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</si>
  <si>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</si>
  <si>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</si>
  <si>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</si>
  <si>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</si>
  <si>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</si>
  <si>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</si>
  <si>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</si>
  <si>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</si>
  <si>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</si>
  <si>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</si>
  <si>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</si>
  <si>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</si>
  <si>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</si>
  <si>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</si>
  <si>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</si>
  <si>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</si>
  <si>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</si>
  <si>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</si>
  <si>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</si>
  <si>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</si>
  <si>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</si>
  <si>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</si>
  <si>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</si>
  <si>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</si>
  <si>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</si>
  <si>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</si>
  <si>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</si>
  <si>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</si>
  <si>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</si>
  <si>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</si>
  <si>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</si>
  <si>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</si>
  <si>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</si>
  <si>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</si>
  <si>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</si>
  <si>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</si>
  <si>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</si>
  <si>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</si>
  <si>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</si>
  <si>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</si>
  <si>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</si>
  <si>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</si>
  <si>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</si>
  <si>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</si>
  <si>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</si>
  <si>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</si>
  <si>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</si>
  <si>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</si>
  <si>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</si>
  <si>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</si>
  <si>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</si>
  <si>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</si>
  <si>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</si>
  <si>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</si>
  <si>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</si>
  <si>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</si>
  <si>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</si>
  <si>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</si>
  <si>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</si>
  <si>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</si>
  <si>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</si>
  <si>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</si>
  <si>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</si>
  <si>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</si>
  <si>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</si>
  <si>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</si>
  <si>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</si>
  <si>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</si>
  <si>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</si>
  <si>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</si>
  <si>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</si>
  <si>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</si>
  <si>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</si>
  <si>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</si>
  <si>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</si>
  <si>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</si>
  <si>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</si>
  <si>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</si>
  <si>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</si>
  <si>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</si>
  <si>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</si>
  <si>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</si>
  <si>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</si>
  <si>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</si>
  <si>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</si>
  <si>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</si>
  <si>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</si>
  <si>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</si>
  <si>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</si>
  <si>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</si>
  <si>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</si>
  <si>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</si>
  <si>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</si>
  <si>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</si>
  <si>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</si>
  <si>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</si>
  <si>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</si>
  <si>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</si>
  <si>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</si>
  <si>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</si>
  <si>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</si>
  <si>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</si>
  <si>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</si>
  <si>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</si>
  <si>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</si>
  <si>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</si>
  <si>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</si>
  <si>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</si>
  <si>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</si>
  <si>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</si>
  <si>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</si>
  <si>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</si>
  <si>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</si>
  <si>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</si>
  <si>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</si>
  <si>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</si>
  <si>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</si>
  <si>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</si>
  <si>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</si>
  <si>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</si>
  <si>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</si>
  <si>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</si>
  <si>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</si>
  <si>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</si>
  <si>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</si>
  <si>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</si>
  <si>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</si>
  <si>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</si>
  <si>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</si>
  <si>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</si>
  <si>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</si>
  <si>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</si>
  <si>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</si>
  <si>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</si>
  <si>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</si>
  <si>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</si>
  <si>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</si>
  <si>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</si>
  <si>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</si>
  <si>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</si>
  <si>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</si>
  <si>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</si>
  <si>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</si>
  <si>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</si>
  <si>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</si>
  <si>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</si>
  <si>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</si>
  <si>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</si>
  <si>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</si>
  <si>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</si>
  <si>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</si>
  <si>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</si>
  <si>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</si>
  <si>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</si>
  <si>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</si>
  <si>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</si>
  <si>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</si>
  <si>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</si>
  <si>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</si>
  <si>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</si>
  <si>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</si>
  <si>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</si>
  <si>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</si>
  <si>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</si>
  <si>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</si>
  <si>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</si>
  <si>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</si>
  <si>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</si>
  <si>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</si>
  <si>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</si>
  <si>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</si>
  <si>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</si>
  <si>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</si>
  <si>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</si>
  <si>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</si>
  <si>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</si>
  <si>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</si>
  <si>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</si>
  <si>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</si>
  <si>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</si>
  <si>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</si>
  <si>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</si>
  <si>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</si>
  <si>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</si>
  <si>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</si>
  <si>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</si>
  <si>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</si>
  <si>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</si>
  <si>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</si>
  <si>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</si>
  <si>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</si>
  <si>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</si>
  <si>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</si>
  <si>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</si>
  <si>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</si>
  <si>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</si>
  <si>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</si>
  <si>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</si>
  <si>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</si>
  <si>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</si>
  <si>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</si>
  <si>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</si>
  <si>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</si>
  <si>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</si>
  <si>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</si>
  <si>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</si>
  <si>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</si>
  <si>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</si>
  <si>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</si>
  <si>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</si>
  <si>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</si>
  <si>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</si>
  <si>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</si>
  <si>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</si>
  <si>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</si>
  <si>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</si>
  <si>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</si>
  <si>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</si>
  <si>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</si>
  <si>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</si>
  <si>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</si>
  <si>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</si>
  <si>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</si>
  <si>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</si>
  <si>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</si>
  <si>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</si>
  <si>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</si>
  <si>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</si>
  <si>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</si>
  <si>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</si>
  <si>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</si>
  <si>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</si>
  <si>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</si>
  <si>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</si>
  <si>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</si>
  <si>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</si>
  <si>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</si>
  <si>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</si>
  <si>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</si>
  <si>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</si>
  <si>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</si>
  <si>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</si>
  <si>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</si>
  <si>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</si>
  <si>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</si>
  <si>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</si>
  <si>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</si>
  <si>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</si>
  <si>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</si>
  <si>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</si>
  <si>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</si>
  <si>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</si>
  <si>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</si>
  <si>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</si>
  <si>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</si>
  <si>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</si>
  <si>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</si>
  <si>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</si>
  <si>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</si>
  <si>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</si>
  <si>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</si>
  <si>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</si>
  <si>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</si>
  <si>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</si>
  <si>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</si>
  <si>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</si>
  <si>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</si>
  <si>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</si>
  <si>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</si>
  <si>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</si>
  <si>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</si>
  <si>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</si>
  <si>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</si>
  <si>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</si>
  <si>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</si>
  <si>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</si>
  <si>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</si>
  <si>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</si>
  <si>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</si>
  <si>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</si>
  <si>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</si>
  <si>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</si>
  <si>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</si>
  <si>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</si>
  <si>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</si>
  <si>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</si>
  <si>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</si>
  <si>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</si>
  <si>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</si>
  <si>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</si>
  <si>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</si>
  <si>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</si>
  <si>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</si>
  <si>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</si>
  <si>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</si>
  <si>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</si>
  <si>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</si>
  <si>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</si>
  <si>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</si>
  <si>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</si>
  <si>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</si>
  <si>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</si>
  <si>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</si>
  <si>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</si>
  <si>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</si>
  <si>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</si>
  <si>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</si>
  <si>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</si>
  <si>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</si>
  <si>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</si>
  <si>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</si>
  <si>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</si>
  <si>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</si>
  <si>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</si>
  <si>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</si>
  <si>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</si>
  <si>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</si>
  <si>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</si>
  <si>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</si>
  <si>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</si>
  <si>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</si>
  <si>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</si>
  <si>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</si>
  <si>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</si>
  <si>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</si>
  <si>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</si>
  <si>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</si>
  <si>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</si>
  <si>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</si>
  <si>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</si>
  <si>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</si>
  <si>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</si>
  <si>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</si>
  <si>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</si>
  <si>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</si>
  <si>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</si>
  <si>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</si>
  <si>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</si>
  <si>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</si>
  <si>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</si>
  <si>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</si>
  <si>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</si>
  <si>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</si>
  <si>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</si>
  <si>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</si>
  <si>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</si>
  <si>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</si>
  <si>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</si>
  <si>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</si>
  <si>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</si>
  <si>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</si>
  <si>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</si>
  <si>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</si>
  <si>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</si>
  <si>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</si>
  <si>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</si>
  <si>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</si>
  <si>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</si>
  <si>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</si>
  <si>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</si>
  <si>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</si>
  <si>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</si>
  <si>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</si>
  <si>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</si>
  <si>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</si>
  <si>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</si>
  <si>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</si>
  <si>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</si>
  <si>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</si>
  <si>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</si>
  <si>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</si>
  <si>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</si>
  <si>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</si>
  <si>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</si>
  <si>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</si>
  <si>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</si>
  <si>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</si>
  <si>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</si>
  <si>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</si>
  <si>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</si>
  <si>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</si>
  <si>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</si>
  <si>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</si>
  <si>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</si>
  <si>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</si>
  <si>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</si>
  <si>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</si>
  <si>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</si>
  <si>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</si>
  <si>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</si>
  <si>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</si>
  <si>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</si>
  <si>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</si>
  <si>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</si>
  <si>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</si>
  <si>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</si>
  <si>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</si>
  <si>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</si>
  <si>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</si>
  <si>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</si>
  <si>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</si>
  <si>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</si>
  <si>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</si>
  <si>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</si>
  <si>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</si>
  <si>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</si>
  <si>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</si>
  <si>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</si>
  <si>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</si>
  <si>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</si>
  <si>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</si>
  <si>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</si>
  <si>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</si>
  <si>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</si>
  <si>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</si>
  <si>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</si>
  <si>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</si>
  <si>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</si>
  <si>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</si>
  <si>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</si>
  <si>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</si>
  <si>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</si>
  <si>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</si>
  <si>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</si>
  <si>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</si>
  <si>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</si>
  <si>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</si>
  <si>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</si>
  <si>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</si>
  <si>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</si>
  <si>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</si>
  <si>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</si>
  <si>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</si>
  <si>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</si>
  <si>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</si>
  <si>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</si>
  <si>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</si>
  <si>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</si>
  <si>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</si>
  <si>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</si>
  <si>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</si>
  <si>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</si>
  <si>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</si>
  <si>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</si>
  <si>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</si>
  <si>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</si>
  <si>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</si>
  <si>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</si>
  <si>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</si>
  <si>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</si>
  <si>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</si>
  <si>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</si>
  <si>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</si>
  <si>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</si>
  <si>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</si>
  <si>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</si>
  <si>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</si>
  <si>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</si>
  <si>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</si>
  <si>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</si>
  <si>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</si>
  <si>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</si>
  <si>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</si>
  <si>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</si>
  <si>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</si>
  <si>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</si>
  <si>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</si>
  <si>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</si>
  <si>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</si>
  <si>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</si>
  <si>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</si>
  <si>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</si>
  <si>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</si>
  <si>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</si>
  <si>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</si>
  <si>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</si>
  <si>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</si>
  <si>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</si>
  <si>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</si>
  <si>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</si>
  <si>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</si>
  <si>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</si>
  <si>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</si>
  <si>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</si>
  <si>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</si>
  <si>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</si>
  <si>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</si>
  <si>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</si>
  <si>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</si>
  <si>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</si>
  <si>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</si>
  <si>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</si>
  <si>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</si>
  <si>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</si>
  <si>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</si>
  <si>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</si>
  <si>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</si>
  <si>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</si>
  <si>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</si>
  <si>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</si>
  <si>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</si>
  <si>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</si>
  <si>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</si>
  <si>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</si>
  <si>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</si>
  <si>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</si>
  <si>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</si>
  <si>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</si>
  <si>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</si>
  <si>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</si>
  <si>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</si>
  <si>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</si>
  <si>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</si>
  <si>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</si>
  <si>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</si>
  <si>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</si>
  <si>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</si>
  <si>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</si>
  <si>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</si>
  <si>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</si>
  <si>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</si>
  <si>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</si>
  <si>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</si>
  <si>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</si>
  <si>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</si>
  <si>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</si>
  <si>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</si>
  <si>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</si>
  <si>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</si>
  <si>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</si>
  <si>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</si>
  <si>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</si>
  <si>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</si>
  <si>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</si>
  <si>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</si>
  <si>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</si>
  <si>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</si>
  <si>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</si>
  <si>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</si>
  <si>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</si>
  <si>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</si>
  <si>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</si>
  <si>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</si>
  <si>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</si>
  <si>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</si>
  <si>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</si>
  <si>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</si>
  <si>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</si>
  <si>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</si>
  <si>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</si>
  <si>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</si>
  <si>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</si>
  <si>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</si>
  <si>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</si>
  <si>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</si>
  <si>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</si>
  <si>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</si>
  <si>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</si>
  <si>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</si>
  <si>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</si>
  <si>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</si>
  <si>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</si>
  <si>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</si>
  <si>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</si>
  <si>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</si>
  <si>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</si>
  <si>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</si>
  <si>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</si>
  <si>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</si>
  <si>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</si>
  <si>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</si>
  <si>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</si>
  <si>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</si>
  <si>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</si>
  <si>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</si>
  <si>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</si>
  <si>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</si>
  <si>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</si>
  <si>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</si>
  <si>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</si>
  <si>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</si>
  <si>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</si>
  <si>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</si>
  <si>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</si>
  <si>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</si>
  <si>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</si>
  <si>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</si>
  <si>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</si>
  <si>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</si>
  <si>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</si>
  <si>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</si>
  <si>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</si>
  <si>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</si>
  <si>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</si>
  <si>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</si>
  <si>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</si>
  <si>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</si>
  <si>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</si>
  <si>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</si>
  <si>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</si>
  <si>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</si>
  <si>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</si>
  <si>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</si>
  <si>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</si>
  <si>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</si>
  <si>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</si>
  <si>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</si>
  <si>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</si>
  <si>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</si>
  <si>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</si>
  <si>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</si>
  <si>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</si>
  <si>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</si>
  <si>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</si>
  <si>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</si>
  <si>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</si>
  <si>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</si>
  <si>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</si>
  <si>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</si>
  <si>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</si>
  <si>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</si>
  <si>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</si>
  <si>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</si>
  <si>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</si>
  <si>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</si>
  <si>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</si>
  <si>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</si>
  <si>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</si>
  <si>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</si>
  <si>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</si>
  <si>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</si>
  <si>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</si>
  <si>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</si>
  <si>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</si>
  <si>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</si>
  <si>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</si>
  <si>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</si>
  <si>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</si>
  <si>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</si>
  <si>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</si>
  <si>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</si>
  <si>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</si>
  <si>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</si>
  <si>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</si>
  <si>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</si>
  <si>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</si>
  <si>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</si>
  <si>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</si>
  <si>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</si>
  <si>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</si>
  <si>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</si>
  <si>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</si>
  <si>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</si>
  <si>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</si>
  <si>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</si>
  <si>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</si>
  <si>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</si>
  <si>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</si>
  <si>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</si>
  <si>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</si>
  <si>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</si>
  <si>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</si>
  <si>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</si>
  <si>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</si>
  <si>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</si>
  <si>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</si>
  <si>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</si>
  <si>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</si>
  <si>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</si>
  <si>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</si>
  <si>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</si>
  <si>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</si>
  <si>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</si>
  <si>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</si>
  <si>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</si>
  <si>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</si>
  <si>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</si>
  <si>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</si>
  <si>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</si>
  <si>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</si>
  <si>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</si>
  <si>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</si>
  <si>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</si>
  <si>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</si>
  <si>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</si>
  <si>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</si>
  <si>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</si>
  <si>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</si>
  <si>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</si>
  <si>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</si>
  <si>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</si>
  <si>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</si>
  <si>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</si>
  <si>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</si>
  <si>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</si>
  <si>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</si>
  <si>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</si>
  <si>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</si>
  <si>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</si>
  <si>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</si>
  <si>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</si>
  <si>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</si>
  <si>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</si>
  <si>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</si>
  <si>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</si>
  <si>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</si>
  <si>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</si>
  <si>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</si>
  <si>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</si>
  <si>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</si>
  <si>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</si>
  <si>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</si>
  <si>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</si>
  <si>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</si>
  <si>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</si>
  <si>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</si>
  <si>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</si>
  <si>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</si>
  <si>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</si>
  <si>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</si>
  <si>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</si>
  <si>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</si>
  <si>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</si>
  <si>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</si>
  <si>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</si>
  <si>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</si>
  <si>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</si>
  <si>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</si>
  <si>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</si>
  <si>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</si>
  <si>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</si>
  <si>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</si>
  <si>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</si>
  <si>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</si>
  <si>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</si>
  <si>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</si>
  <si>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</si>
  <si>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</si>
  <si>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</si>
  <si>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</si>
  <si>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</si>
  <si>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</si>
  <si>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</si>
  <si>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</si>
  <si>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</si>
  <si>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</si>
  <si>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</si>
  <si>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</si>
  <si>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</si>
  <si>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</si>
  <si>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</si>
  <si>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</si>
  <si>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</si>
  <si>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</si>
  <si>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</si>
  <si>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</si>
  <si>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</si>
  <si>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</si>
  <si>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</si>
  <si>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</si>
  <si>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</si>
  <si>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</si>
  <si>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</si>
  <si>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</si>
  <si>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</si>
  <si>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</si>
  <si>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</si>
  <si>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</si>
  <si>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</si>
  <si>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</si>
  <si>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</si>
  <si>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</si>
  <si>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</si>
  <si>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</si>
  <si>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</si>
  <si>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</si>
  <si>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</si>
  <si>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</si>
  <si>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</si>
  <si>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</si>
  <si>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</si>
  <si>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</si>
  <si>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</si>
  <si>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</si>
  <si>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</si>
  <si>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</si>
  <si>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</si>
  <si>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</si>
  <si>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</si>
  <si>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</si>
  <si>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</si>
  <si>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</si>
  <si>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</si>
  <si>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</si>
  <si>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</si>
  <si>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</si>
  <si>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</si>
  <si>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</si>
  <si>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</si>
  <si>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</si>
  <si>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</si>
  <si>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</si>
  <si>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</si>
  <si>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</si>
  <si>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</si>
  <si>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</si>
  <si>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</si>
  <si>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</si>
  <si>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</si>
  <si>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</si>
  <si>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</si>
  <si>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</si>
  <si>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</si>
  <si>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</si>
  <si>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</si>
  <si>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</si>
  <si>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</si>
  <si>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</si>
  <si>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</si>
  <si>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</si>
  <si>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</si>
  <si>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</si>
  <si>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</si>
  <si>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</si>
  <si>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</si>
  <si>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</si>
  <si>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</si>
  <si>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</si>
  <si>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</si>
  <si>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</si>
  <si>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</si>
  <si>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</si>
  <si>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</si>
  <si>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</si>
  <si>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</si>
  <si>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</si>
  <si>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</si>
  <si>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</si>
  <si>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</si>
  <si>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</si>
  <si>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</si>
  <si>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</si>
  <si>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</si>
  <si>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</si>
  <si>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</si>
  <si>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</si>
  <si>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</si>
  <si>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</si>
  <si>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</si>
  <si>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</si>
  <si>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</si>
  <si>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</si>
  <si>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</si>
  <si>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</si>
  <si>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</si>
  <si>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</si>
  <si>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</si>
  <si>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</si>
  <si>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</si>
  <si>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</si>
  <si>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</si>
  <si>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</si>
  <si>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</si>
  <si>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</si>
  <si>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</si>
  <si>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</si>
  <si>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</si>
  <si>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</si>
  <si>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</si>
  <si>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</si>
  <si>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</si>
  <si>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</si>
  <si>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</si>
  <si>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</si>
  <si>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</si>
  <si>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</si>
  <si>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</si>
  <si>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</si>
  <si>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</si>
  <si>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</si>
  <si>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</si>
  <si>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</si>
  <si>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</si>
  <si>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</si>
  <si>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</si>
  <si>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</si>
  <si>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</si>
  <si>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</si>
  <si>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</si>
  <si>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</si>
  <si>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</si>
  <si>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</si>
  <si>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</si>
  <si>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</si>
  <si>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</si>
  <si>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</si>
  <si>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</si>
  <si>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</si>
  <si>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</si>
  <si>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</si>
  <si>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</si>
  <si>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</si>
  <si>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</si>
  <si>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</si>
  <si>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</si>
  <si>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</si>
  <si>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</si>
  <si>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</si>
  <si>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</si>
  <si>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</si>
  <si>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</si>
  <si>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</si>
  <si>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</si>
  <si>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</si>
  <si>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</si>
  <si>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</si>
  <si>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</si>
  <si>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</si>
  <si>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</si>
  <si>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</si>
  <si>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</si>
  <si>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</si>
  <si>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</si>
  <si>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</si>
  <si>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</si>
  <si>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</si>
  <si>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</si>
  <si>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</si>
  <si>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</si>
  <si>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</si>
  <si>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</si>
  <si>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</si>
  <si>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</si>
  <si>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</si>
  <si>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</si>
  <si>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</si>
  <si>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</si>
  <si>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</si>
  <si>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</si>
  <si>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</si>
  <si>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</si>
  <si>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</si>
  <si>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</si>
  <si>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</si>
  <si>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</si>
  <si>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</si>
  <si>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</si>
  <si>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</si>
  <si>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</si>
  <si>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</si>
  <si>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</si>
  <si>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</si>
  <si>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</si>
  <si>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</si>
  <si>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</si>
  <si>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</si>
  <si>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</si>
  <si>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</si>
  <si>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</si>
  <si>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</si>
  <si>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</si>
  <si>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</si>
  <si>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</si>
  <si>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</si>
  <si>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</si>
  <si>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</si>
  <si>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</si>
  <si>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</si>
  <si>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</si>
  <si>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</si>
  <si>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</si>
  <si>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</si>
  <si>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</si>
  <si>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</si>
  <si>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</si>
  <si>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</si>
  <si>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</si>
  <si>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</si>
  <si>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</si>
  <si>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</si>
  <si>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</si>
  <si>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</si>
  <si>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</si>
  <si>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</si>
  <si>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</si>
  <si>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</si>
  <si>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</si>
  <si>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</si>
  <si>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</si>
  <si>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</si>
  <si>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</si>
  <si>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</si>
  <si>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</si>
  <si>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</si>
  <si>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</si>
  <si>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</si>
  <si>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</si>
  <si>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</si>
  <si>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</si>
  <si>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</si>
  <si>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</si>
  <si>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</si>
  <si>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</si>
  <si>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</si>
  <si>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</si>
  <si>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</si>
  <si>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</si>
  <si>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</si>
  <si>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</si>
  <si>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</si>
  <si>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</si>
  <si>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</si>
  <si>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</si>
  <si>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</si>
  <si>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</si>
  <si>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</si>
  <si>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</si>
  <si>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</si>
  <si>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</si>
  <si>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</si>
  <si>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</si>
  <si>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</si>
  <si>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</si>
  <si>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</si>
  <si>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</si>
  <si>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</si>
  <si>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</si>
  <si>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</si>
  <si>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</si>
  <si>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</si>
  <si>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</si>
  <si>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</si>
  <si>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</si>
  <si>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</si>
  <si>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</si>
  <si>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</si>
  <si>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</si>
  <si>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</si>
  <si>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</si>
  <si>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</si>
  <si>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</si>
  <si>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</si>
  <si>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</si>
  <si>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</si>
  <si>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</si>
  <si>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</si>
  <si>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</si>
  <si>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</si>
  <si>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</si>
  <si>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</si>
  <si>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</si>
  <si>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</si>
  <si>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</si>
  <si>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</si>
  <si>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</si>
  <si>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</si>
  <si>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</si>
  <si>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</si>
  <si>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</si>
  <si>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</si>
  <si>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</si>
  <si>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</si>
  <si>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</si>
  <si>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</si>
  <si>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</si>
  <si>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</si>
  <si>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</si>
  <si>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</si>
  <si>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</si>
  <si>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</si>
  <si>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</si>
  <si>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</si>
  <si>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</si>
  <si>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</si>
  <si>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</si>
  <si>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</si>
  <si>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</si>
  <si>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</si>
  <si>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</si>
  <si>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</si>
  <si>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</si>
  <si>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</si>
  <si>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</si>
  <si>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</si>
  <si>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</si>
  <si>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</si>
  <si>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</si>
  <si>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</si>
  <si>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</si>
  <si>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</si>
  <si>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</si>
  <si>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</si>
  <si>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</si>
  <si>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</si>
  <si>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</si>
  <si>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</si>
  <si>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</si>
  <si>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</si>
  <si>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</si>
  <si>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</si>
  <si>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</si>
  <si>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</si>
  <si>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</si>
  <si>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</si>
  <si>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</si>
  <si>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</si>
  <si>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</si>
  <si>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</si>
  <si>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</si>
  <si>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</si>
  <si>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</si>
  <si>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</si>
  <si>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</si>
  <si>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</si>
  <si>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</si>
  <si>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</si>
  <si>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</si>
  <si>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</si>
  <si>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</si>
  <si>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</si>
  <si>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</si>
  <si>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</si>
  <si>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</si>
  <si>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</si>
  <si>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</si>
  <si>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</si>
  <si>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</si>
  <si>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</si>
  <si>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</si>
  <si>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</si>
  <si>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</si>
  <si>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</si>
  <si>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</si>
  <si>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</si>
  <si>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</si>
  <si>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</si>
  <si>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</si>
  <si>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</si>
  <si>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</si>
  <si>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</si>
  <si>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</si>
  <si>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</si>
  <si>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</si>
  <si>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</si>
  <si>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</si>
  <si>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</si>
  <si>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</si>
  <si>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</si>
  <si>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</si>
  <si>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</si>
  <si>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</si>
  <si>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</si>
  <si>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</si>
  <si>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</si>
  <si>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</si>
  <si>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</si>
  <si>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</si>
  <si>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</si>
  <si>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</si>
  <si>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</si>
  <si>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</si>
  <si>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</si>
  <si>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</si>
  <si>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</si>
  <si>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</si>
  <si>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</si>
  <si>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</si>
  <si>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</si>
  <si>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</si>
  <si>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</si>
  <si>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</si>
  <si>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</si>
  <si>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</si>
  <si>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</si>
  <si>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</si>
  <si>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</si>
  <si>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</si>
  <si>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</si>
  <si>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</si>
  <si>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</si>
  <si>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</si>
  <si>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</si>
  <si>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</si>
  <si>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</si>
  <si>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</si>
  <si>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</si>
  <si>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</si>
  <si>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</si>
  <si>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</si>
  <si>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</si>
  <si>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</si>
  <si>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</si>
  <si>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</si>
  <si>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</si>
  <si>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</si>
  <si>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</si>
  <si>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</si>
  <si>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</si>
  <si>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</si>
  <si>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</si>
  <si>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</si>
  <si>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</si>
  <si>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</si>
  <si>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</si>
  <si>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</si>
  <si>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</si>
  <si>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</si>
  <si>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</si>
  <si>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</si>
  <si>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</si>
  <si>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</si>
  <si>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</si>
  <si>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</si>
  <si>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</si>
  <si>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</si>
  <si>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</si>
  <si>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</si>
  <si>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</si>
  <si>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</si>
  <si>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</si>
  <si>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</si>
  <si>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</si>
  <si>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</si>
  <si>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Unknown</t>
  </si>
  <si>
    <t>Invalid binary values</t>
  </si>
  <si>
    <t>Outliers in revenue</t>
  </si>
  <si>
    <t>Row Labels</t>
  </si>
  <si>
    <t>Grand Total</t>
  </si>
  <si>
    <t>Count of user_id</t>
  </si>
  <si>
    <t>Column Labels</t>
  </si>
  <si>
    <t>Metric</t>
  </si>
  <si>
    <t>Value</t>
  </si>
  <si>
    <t>Notes</t>
  </si>
  <si>
    <t>revenue</t>
  </si>
  <si>
    <t>Column_name</t>
  </si>
  <si>
    <t>Missing_count</t>
  </si>
  <si>
    <t>Missing%</t>
  </si>
  <si>
    <t>Action  Taken</t>
  </si>
  <si>
    <t>group</t>
  </si>
  <si>
    <t>No action required</t>
  </si>
  <si>
    <t>Column_NAME</t>
  </si>
  <si>
    <t>Group</t>
  </si>
  <si>
    <t>User_count</t>
  </si>
  <si>
    <t>Percentage%</t>
  </si>
  <si>
    <t>Tratement</t>
  </si>
  <si>
    <t>Total</t>
  </si>
  <si>
    <t>Groups are approximately balanced</t>
  </si>
  <si>
    <t>Suitable for A/B test analysis</t>
  </si>
  <si>
    <t>Issue_type</t>
  </si>
  <si>
    <t>Count</t>
  </si>
  <si>
    <t>Action_taken</t>
  </si>
  <si>
    <t>Duplicate user_id</t>
  </si>
  <si>
    <t>Removed duplicate records, keeping the first occurrence</t>
  </si>
  <si>
    <t>_</t>
  </si>
  <si>
    <t>Valid_Binary values</t>
  </si>
  <si>
    <t>Invalid_values_found</t>
  </si>
  <si>
    <t>Action Taken</t>
  </si>
  <si>
    <t>Yes</t>
  </si>
  <si>
    <t>No</t>
  </si>
  <si>
    <t>Minimum Revenue</t>
  </si>
  <si>
    <t>Maximum Revenue</t>
  </si>
  <si>
    <t>Average Revenue</t>
  </si>
  <si>
    <t>Outliers Found</t>
  </si>
  <si>
    <t>Action taken</t>
  </si>
  <si>
    <t>YES</t>
  </si>
  <si>
    <t>Outlier Retained</t>
  </si>
  <si>
    <t>Lowest revenue value</t>
  </si>
  <si>
    <t>Highest revenue value</t>
  </si>
  <si>
    <t>Maximum revenue is substantially higher than the average</t>
  </si>
  <si>
    <t>Average revenue across all users</t>
  </si>
  <si>
    <t>Revenue values were kept because they may represent genuine high-value customers</t>
  </si>
  <si>
    <t>Table 1</t>
  </si>
  <si>
    <t>Region Distribution</t>
  </si>
  <si>
    <t>Table 2</t>
  </si>
  <si>
    <t xml:space="preserve"> Device Type</t>
  </si>
  <si>
    <t>Table 3</t>
  </si>
  <si>
    <t>Traffic Source</t>
  </si>
  <si>
    <t>Table 4</t>
  </si>
  <si>
    <t>Plan type</t>
  </si>
  <si>
    <t>Average of visited_landing_page</t>
  </si>
  <si>
    <r>
      <rPr>
        <b/>
        <sz val="14"/>
        <color theme="1"/>
        <rFont val="Calibri"/>
        <family val="2"/>
        <scheme val="minor"/>
      </rPr>
      <t>Landing_page</t>
    </r>
    <r>
      <rPr>
        <sz val="11"/>
        <color theme="1"/>
        <rFont val="Calibri"/>
        <family val="2"/>
        <scheme val="minor"/>
      </rPr>
      <t>_</t>
    </r>
    <r>
      <rPr>
        <b/>
        <sz val="14"/>
        <color theme="1"/>
        <rFont val="Calibri"/>
        <family val="2"/>
        <scheme val="minor"/>
      </rPr>
      <t>visit</t>
    </r>
  </si>
  <si>
    <t>Average of started_trial</t>
  </si>
  <si>
    <t>Trial Start Rate</t>
  </si>
  <si>
    <t>Average of completed_onboarding</t>
  </si>
  <si>
    <t>Onboarding Conversion Rate</t>
  </si>
  <si>
    <t>Average of converted_to_paid</t>
  </si>
  <si>
    <t>Paid Conversion rate</t>
  </si>
  <si>
    <t>Average of refund_requested</t>
  </si>
  <si>
    <t>Refund rate</t>
  </si>
  <si>
    <t>Average of support_tickets_30d</t>
  </si>
  <si>
    <t>Support ticket rate</t>
  </si>
  <si>
    <t>Average of revenue_30d</t>
  </si>
  <si>
    <t>Revenue</t>
  </si>
  <si>
    <t>Average of engagement_score</t>
  </si>
  <si>
    <t>Engagement_score</t>
  </si>
  <si>
    <t>Average of days_to_convert</t>
  </si>
  <si>
    <t>Day_to convert</t>
  </si>
  <si>
    <t>User count</t>
  </si>
  <si>
    <t>Sum of converted_to_paid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</si>
  <si>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</si>
  <si>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</si>
  <si>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</si>
  <si>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</si>
  <si>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</si>
  <si>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</si>
  <si>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</si>
  <si>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</si>
  <si>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</si>
  <si>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</si>
  <si>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</si>
  <si>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Hypothesis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</si>
</sst>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rit Roy" refreshedDate="46199.003250694448" createdVersion="8" refreshedVersion="8" minRefreshableVersion="3" recordCount="1409" xr:uid="{12A201CE-B921-4097-B5EA-A6882F183E7E}">
  <cacheSource type="worksheet">
    <worksheetSource ref="B1:P1048576" sheet="raw_data_check"/>
  </cacheSource>
  <cacheFields count="16">
    <cacheField name="user_id" numFmtId="0">
      <sharedItems containsBlank="1" count="1401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  <m/>
      </sharedItems>
    </cacheField>
    <cacheField name="signup_date" numFmtId="0">
      <sharedItems containsNonDate="0" containsDate="1" containsString="0" containsBlank="1" minDate="2025-01-01T00:00:00" maxDate="2025-06-01T00:00:00"/>
    </cacheField>
    <cacheField name="experiment_group" numFmtId="0">
      <sharedItems containsBlank="1" count="3">
        <s v="Control"/>
        <s v="Treatment"/>
        <m/>
      </sharedItems>
    </cacheField>
    <cacheField name="region" numFmtId="0">
      <sharedItems containsBlank="1" count="5">
        <s v="North"/>
        <s v="West"/>
        <s v="East"/>
        <s v="South"/>
        <m/>
      </sharedItems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 containsBlank="1"/>
    </cacheField>
    <cacheField name="visited_landing_page" numFmtId="0">
      <sharedItems containsString="0" containsBlank="1" containsNumber="1" containsInteger="1" minValue="0" maxValue="1"/>
    </cacheField>
    <cacheField name="started_trial" numFmtId="0">
      <sharedItems containsString="0" containsBlank="1" containsNumber="1" containsInteger="1" minValue="0" maxValue="1"/>
    </cacheField>
    <cacheField name="completed_onboarding" numFmtId="0">
      <sharedItems containsString="0" containsBlank="1" containsNumber="1" containsInteger="1" minValue="0" maxValue="1"/>
    </cacheField>
    <cacheField name="converted_to_paid" numFmtId="0">
      <sharedItems containsString="0" containsBlank="1" containsNumber="1" containsInteger="1" minValue="0" maxValue="1"/>
    </cacheField>
    <cacheField name="revenue_30d" numFmtId="0">
      <sharedItems containsString="0" containsBlank="1" containsNumber="1" minValue="0" maxValue="8610.7199999999993"/>
    </cacheField>
    <cacheField name="support_tickets_30d" numFmtId="0">
      <sharedItems containsString="0" containsBlank="1" containsNumber="1" containsInteger="1" minValue="0" maxValue="4"/>
    </cacheField>
    <cacheField name="refund_requested" numFmtId="0">
      <sharedItems containsString="0" containsBlank="1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rit Roy" refreshedDate="46199.900968055554" createdVersion="8" refreshedVersion="8" minRefreshableVersion="3" recordCount="1408" xr:uid="{78467347-739B-43D4-A07E-6FC4A63178F4}">
  <cacheSource type="worksheet">
    <worksheetSource ref="B1:P1409" sheet="raw_data_check"/>
  </cacheSource>
  <cacheFields count="16">
    <cacheField name="user_id" numFmtId="0">
      <sharedItems containsBlank="1" count="1401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  <m/>
      </sharedItems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 count="2">
        <n v="0"/>
        <n v="1"/>
      </sharedItems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emiMixedTypes="0" containsString="0" containsNumber="1" containsInteger="1" minValue="0" maxValue="17"/>
    </cacheField>
    <cacheField name="engagement_score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rit Roy" refreshedDate="46201.096880787038" createdVersion="8" refreshedVersion="8" minRefreshableVersion="3" recordCount="1409" xr:uid="{B2B99B5E-0011-4E75-8B40-3878655D1390}">
  <cacheSource type="worksheet">
    <worksheetSource ref="B1:P1048576" sheet="raw_data_check"/>
  </cacheSource>
  <cacheFields count="16">
    <cacheField name="user_id" numFmtId="0">
      <sharedItems containsBlank="1" count="1401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  <m/>
      </sharedItems>
    </cacheField>
    <cacheField name="signup_date" numFmtId="0">
      <sharedItems containsNonDate="0" containsDate="1" containsString="0" containsBlank="1" minDate="2025-01-01T00:00:00" maxDate="2025-06-01T00:00:00"/>
    </cacheField>
    <cacheField name="experiment_group" numFmtId="0">
      <sharedItems containsBlank="1" count="3">
        <s v="Control"/>
        <s v="Treatment"/>
        <m/>
      </sharedItems>
    </cacheField>
    <cacheField name="region" numFmtId="0">
      <sharedItems containsBlank="1"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 containsBlank="1"/>
    </cacheField>
    <cacheField name="visited_landing_page" numFmtId="0">
      <sharedItems containsString="0" containsBlank="1" containsNumber="1" containsInteger="1" minValue="0" maxValue="1"/>
    </cacheField>
    <cacheField name="started_trial" numFmtId="0">
      <sharedItems containsString="0" containsBlank="1" containsNumber="1" containsInteger="1" minValue="0" maxValue="1"/>
    </cacheField>
    <cacheField name="completed_onboarding" numFmtId="0">
      <sharedItems containsString="0" containsBlank="1" containsNumber="1" containsInteger="1" minValue="0" maxValue="1"/>
    </cacheField>
    <cacheField name="converted_to_paid" numFmtId="0">
      <sharedItems containsString="0" containsBlank="1" containsNumber="1" containsInteger="1" minValue="0" maxValue="1"/>
    </cacheField>
    <cacheField name="revenue_30d" numFmtId="0">
      <sharedItems containsString="0" containsBlank="1" containsNumber="1" minValue="0" maxValue="8610.7199999999993"/>
    </cacheField>
    <cacheField name="support_tickets_30d" numFmtId="0">
      <sharedItems containsString="0" containsBlank="1" containsNumber="1" containsInteger="1" minValue="0" maxValue="4"/>
    </cacheField>
    <cacheField name="refund_requested" numFmtId="0">
      <sharedItems containsString="0" containsBlank="1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rit Roy" refreshedDate="46201.105798379627" createdVersion="8" refreshedVersion="8" minRefreshableVersion="3" recordCount="1409" xr:uid="{99641BE0-7765-4123-923C-4CD58B613C28}">
  <cacheSource type="worksheet">
    <worksheetSource ref="A1:P1048576" sheet="raw_data_check"/>
  </cacheSource>
  <cacheFields count="16">
    <cacheField name="user_id" numFmtId="0">
      <sharedItems containsBlank="1" count="1401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  <m/>
      </sharedItems>
    </cacheField>
    <cacheField name="signup_date" numFmtId="0">
      <sharedItems containsNonDate="0" containsDate="1" containsString="0" containsBlank="1" minDate="2025-01-01T00:00:00" maxDate="2025-06-01T00:00:00"/>
    </cacheField>
    <cacheField name="experiment_group" numFmtId="0">
      <sharedItems containsBlank="1" count="3">
        <s v="Control"/>
        <s v="Treatment"/>
        <m/>
      </sharedItems>
    </cacheField>
    <cacheField name="region" numFmtId="0">
      <sharedItems containsBlank="1"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 containsBlank="1"/>
    </cacheField>
    <cacheField name="visited_landing_page" numFmtId="0">
      <sharedItems containsString="0" containsBlank="1" containsNumber="1" containsInteger="1" minValue="0" maxValue="1"/>
    </cacheField>
    <cacheField name="started_trial" numFmtId="0">
      <sharedItems containsString="0" containsBlank="1" containsNumber="1" containsInteger="1" minValue="0" maxValue="1"/>
    </cacheField>
    <cacheField name="completed_onboarding" numFmtId="0">
      <sharedItems containsString="0" containsBlank="1" containsNumber="1" containsInteger="1" minValue="0" maxValue="1"/>
    </cacheField>
    <cacheField name="converted_to_paid" numFmtId="0">
      <sharedItems containsString="0" containsBlank="1" containsNumber="1" containsInteger="1" minValue="0" maxValue="1"/>
    </cacheField>
    <cacheField name="revenue_30d" numFmtId="0">
      <sharedItems containsString="0" containsBlank="1" containsNumber="1" minValue="0" maxValue="8610.7199999999993"/>
    </cacheField>
    <cacheField name="support_tickets_30d" numFmtId="0">
      <sharedItems containsString="0" containsBlank="1" containsNumber="1" containsInteger="1" minValue="0" maxValue="4"/>
    </cacheField>
    <cacheField name="refund_requested" numFmtId="0">
      <sharedItems containsString="0" containsBlank="1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9">
  <r>
    <x v="0"/>
    <d v="2025-03-16T00:00:00"/>
    <x v="0"/>
    <x v="0"/>
    <s v="Desktop"/>
    <s v="Email"/>
    <s v="Basic"/>
    <n v="0"/>
    <n v="0"/>
    <n v="0"/>
    <n v="0"/>
    <n v="0"/>
    <n v="0"/>
    <n v="0"/>
    <n v="0"/>
    <n v="45.7"/>
  </r>
  <r>
    <x v="1"/>
    <d v="2025-03-08T00:00:00"/>
    <x v="0"/>
    <x v="1"/>
    <s v="Mobile"/>
    <s v="Organic"/>
    <s v="Free"/>
    <n v="1"/>
    <n v="0"/>
    <n v="0"/>
    <n v="0"/>
    <n v="0"/>
    <n v="0"/>
    <n v="0"/>
    <n v="0"/>
    <n v="48.6"/>
  </r>
  <r>
    <x v="2"/>
    <d v="2025-04-24T00:00:00"/>
    <x v="0"/>
    <x v="2"/>
    <s v="Mobile"/>
    <s v="Paid Search"/>
    <s v="Premium"/>
    <n v="1"/>
    <n v="0"/>
    <n v="0"/>
    <n v="0"/>
    <n v="0"/>
    <n v="1"/>
    <n v="0"/>
    <n v="0"/>
    <n v="35.4"/>
  </r>
  <r>
    <x v="3"/>
    <d v="2025-05-04T00:00:00"/>
    <x v="0"/>
    <x v="3"/>
    <s v="Mobile"/>
    <s v="Email"/>
    <s v="Basic"/>
    <n v="1"/>
    <n v="0"/>
    <n v="0"/>
    <n v="0"/>
    <n v="0"/>
    <n v="0"/>
    <n v="0"/>
    <n v="0"/>
    <n v="64.599999999999994"/>
  </r>
  <r>
    <x v="4"/>
    <d v="2025-02-12T00:00:00"/>
    <x v="0"/>
    <x v="0"/>
    <s v="Tablet"/>
    <s v="Organic"/>
    <s v="Free"/>
    <n v="0"/>
    <n v="0"/>
    <n v="0"/>
    <n v="0"/>
    <n v="0"/>
    <n v="0"/>
    <n v="0"/>
    <n v="0"/>
    <n v="66.599999999999994"/>
  </r>
  <r>
    <x v="5"/>
    <d v="2025-01-28T00:00:00"/>
    <x v="0"/>
    <x v="2"/>
    <s v="Mobile"/>
    <s v="Organic"/>
    <s v="Premium"/>
    <n v="1"/>
    <n v="0"/>
    <n v="0"/>
    <n v="0"/>
    <n v="0"/>
    <n v="0"/>
    <n v="0"/>
    <n v="0"/>
    <n v="40.799999999999997"/>
  </r>
  <r>
    <x v="6"/>
    <d v="2025-04-08T00:00:00"/>
    <x v="0"/>
    <x v="2"/>
    <s v="Mobile"/>
    <s v="Paid Search"/>
    <s v="Basic"/>
    <n v="1"/>
    <n v="1"/>
    <n v="0"/>
    <n v="0"/>
    <n v="0"/>
    <n v="0"/>
    <n v="0"/>
    <n v="0"/>
    <n v="57.1"/>
  </r>
  <r>
    <x v="7"/>
    <d v="2025-05-17T00:00:00"/>
    <x v="0"/>
    <x v="3"/>
    <s v="Mobile"/>
    <s v="Paid Search"/>
    <s v="Free"/>
    <n v="0"/>
    <n v="0"/>
    <n v="0"/>
    <n v="0"/>
    <n v="0"/>
    <n v="0"/>
    <n v="0"/>
    <n v="0"/>
    <n v="36.4"/>
  </r>
  <r>
    <x v="8"/>
    <d v="2025-02-23T00:00:00"/>
    <x v="0"/>
    <x v="3"/>
    <s v="Tablet"/>
    <s v="Referral"/>
    <s v="Basic"/>
    <n v="0"/>
    <n v="0"/>
    <n v="0"/>
    <n v="0"/>
    <n v="0"/>
    <n v="0"/>
    <n v="0"/>
    <n v="0"/>
    <n v="55.4"/>
  </r>
  <r>
    <x v="9"/>
    <d v="2025-05-29T00:00:00"/>
    <x v="0"/>
    <x v="1"/>
    <s v="Desktop"/>
    <s v="Social"/>
    <s v="Free"/>
    <n v="1"/>
    <n v="0"/>
    <n v="0"/>
    <n v="0"/>
    <n v="0"/>
    <n v="0"/>
    <n v="0"/>
    <n v="0"/>
    <n v="57.3"/>
  </r>
  <r>
    <x v="10"/>
    <d v="2025-04-30T00:00:00"/>
    <x v="0"/>
    <x v="2"/>
    <s v="Mobile"/>
    <s v="Paid Search"/>
    <s v="Basic"/>
    <n v="1"/>
    <n v="1"/>
    <n v="1"/>
    <n v="0"/>
    <n v="0"/>
    <n v="0"/>
    <n v="0"/>
    <n v="0"/>
    <n v="63.6"/>
  </r>
  <r>
    <x v="11"/>
    <d v="2025-03-16T00:00:00"/>
    <x v="0"/>
    <x v="2"/>
    <s v="Mobile"/>
    <s v="Social"/>
    <s v="Premium"/>
    <n v="1"/>
    <n v="1"/>
    <n v="1"/>
    <n v="0"/>
    <n v="0"/>
    <n v="1"/>
    <n v="0"/>
    <n v="0"/>
    <n v="80.400000000000006"/>
  </r>
  <r>
    <x v="12"/>
    <d v="2025-02-07T00:00:00"/>
    <x v="0"/>
    <x v="3"/>
    <s v="Desktop"/>
    <s v="Email"/>
    <s v="Basic"/>
    <n v="1"/>
    <n v="0"/>
    <n v="0"/>
    <n v="0"/>
    <n v="0"/>
    <n v="0"/>
    <n v="0"/>
    <n v="0"/>
    <n v="62.4"/>
  </r>
  <r>
    <x v="13"/>
    <d v="2025-03-02T00:00:00"/>
    <x v="0"/>
    <x v="1"/>
    <s v="Mobile"/>
    <s v="Social"/>
    <s v="Basic"/>
    <n v="1"/>
    <n v="0"/>
    <n v="0"/>
    <n v="0"/>
    <n v="0"/>
    <n v="0"/>
    <n v="0"/>
    <n v="0"/>
    <n v="82.4"/>
  </r>
  <r>
    <x v="14"/>
    <d v="2025-05-30T00:00:00"/>
    <x v="0"/>
    <x v="3"/>
    <s v="Mobile"/>
    <s v="Organic"/>
    <s v="Basic"/>
    <n v="0"/>
    <n v="0"/>
    <n v="0"/>
    <n v="0"/>
    <n v="0"/>
    <n v="0"/>
    <n v="0"/>
    <n v="0"/>
    <n v="61.2"/>
  </r>
  <r>
    <x v="15"/>
    <d v="2025-03-25T00:00:00"/>
    <x v="0"/>
    <x v="3"/>
    <s v="Mobile"/>
    <s v="Social"/>
    <s v="Basic"/>
    <n v="1"/>
    <n v="0"/>
    <n v="0"/>
    <n v="0"/>
    <n v="0"/>
    <n v="0"/>
    <n v="0"/>
    <n v="0"/>
    <n v="68.900000000000006"/>
  </r>
  <r>
    <x v="16"/>
    <d v="2025-03-27T00:00:00"/>
    <x v="0"/>
    <x v="2"/>
    <s v="Desktop"/>
    <s v="Paid Search"/>
    <s v="Free"/>
    <n v="1"/>
    <n v="1"/>
    <n v="1"/>
    <n v="0"/>
    <n v="0"/>
    <n v="0"/>
    <n v="0"/>
    <n v="0"/>
    <n v="71.900000000000006"/>
  </r>
  <r>
    <x v="17"/>
    <d v="2025-05-28T00:00:00"/>
    <x v="0"/>
    <x v="3"/>
    <s v="Desktop"/>
    <s v="Paid Search"/>
    <s v="Free"/>
    <n v="0"/>
    <n v="0"/>
    <n v="0"/>
    <n v="0"/>
    <n v="0"/>
    <n v="0"/>
    <n v="0"/>
    <n v="0"/>
    <n v="50.5"/>
  </r>
  <r>
    <x v="18"/>
    <d v="2025-02-15T00:00:00"/>
    <x v="0"/>
    <x v="0"/>
    <s v="Desktop"/>
    <s v="Paid Search"/>
    <s v="Basic"/>
    <n v="0"/>
    <n v="0"/>
    <n v="0"/>
    <n v="0"/>
    <n v="0"/>
    <n v="0"/>
    <n v="0"/>
    <n v="0"/>
    <n v="49.3"/>
  </r>
  <r>
    <x v="19"/>
    <d v="2025-05-05T00:00:00"/>
    <x v="0"/>
    <x v="1"/>
    <s v="Desktop"/>
    <s v="Organic"/>
    <s v="Basic"/>
    <n v="0"/>
    <n v="0"/>
    <n v="0"/>
    <n v="0"/>
    <n v="0"/>
    <n v="2"/>
    <n v="0"/>
    <n v="0"/>
    <n v="60.9"/>
  </r>
  <r>
    <x v="20"/>
    <d v="2025-04-13T00:00:00"/>
    <x v="0"/>
    <x v="2"/>
    <s v="Mobile"/>
    <s v="Social"/>
    <s v="Free"/>
    <n v="1"/>
    <n v="0"/>
    <n v="0"/>
    <n v="0"/>
    <n v="0"/>
    <n v="0"/>
    <n v="0"/>
    <n v="0"/>
    <n v="62.7"/>
  </r>
  <r>
    <x v="21"/>
    <d v="2025-05-07T00:00:00"/>
    <x v="0"/>
    <x v="0"/>
    <s v="Desktop"/>
    <s v="Paid Search"/>
    <s v="Free"/>
    <n v="0"/>
    <n v="0"/>
    <n v="0"/>
    <n v="0"/>
    <n v="0"/>
    <n v="0"/>
    <n v="0"/>
    <n v="0"/>
    <n v="52.7"/>
  </r>
  <r>
    <x v="22"/>
    <d v="2025-05-25T00:00:00"/>
    <x v="0"/>
    <x v="0"/>
    <s v="Desktop"/>
    <s v="Organic"/>
    <s v="Free"/>
    <n v="0"/>
    <n v="0"/>
    <n v="0"/>
    <n v="0"/>
    <n v="0"/>
    <n v="0"/>
    <n v="0"/>
    <n v="0"/>
    <n v="54"/>
  </r>
  <r>
    <x v="23"/>
    <d v="2025-04-01T00:00:00"/>
    <x v="0"/>
    <x v="2"/>
    <s v="Mobile"/>
    <s v="Paid Search"/>
    <s v="Premium"/>
    <n v="1"/>
    <n v="1"/>
    <n v="0"/>
    <n v="0"/>
    <n v="0"/>
    <n v="0"/>
    <n v="0"/>
    <n v="0"/>
    <n v="51.6"/>
  </r>
  <r>
    <x v="24"/>
    <d v="2025-02-22T00:00:00"/>
    <x v="0"/>
    <x v="0"/>
    <s v="Mobile"/>
    <s v="Paid Search"/>
    <s v="Premium"/>
    <n v="0"/>
    <n v="0"/>
    <n v="0"/>
    <n v="0"/>
    <n v="0"/>
    <n v="2"/>
    <n v="0"/>
    <n v="0"/>
    <n v="66.900000000000006"/>
  </r>
  <r>
    <x v="25"/>
    <d v="2025-03-24T00:00:00"/>
    <x v="0"/>
    <x v="2"/>
    <s v="Mobile"/>
    <s v="Organic"/>
    <s v="Basic"/>
    <n v="0"/>
    <n v="0"/>
    <n v="0"/>
    <n v="0"/>
    <n v="0"/>
    <n v="0"/>
    <n v="0"/>
    <n v="0"/>
    <n v="67.400000000000006"/>
  </r>
  <r>
    <x v="26"/>
    <d v="2025-02-13T00:00:00"/>
    <x v="0"/>
    <x v="0"/>
    <s v="Mobile"/>
    <s v="Organic"/>
    <s v="Free"/>
    <n v="0"/>
    <n v="0"/>
    <n v="0"/>
    <n v="0"/>
    <n v="0"/>
    <n v="0"/>
    <n v="0"/>
    <n v="0"/>
    <n v="58.8"/>
  </r>
  <r>
    <x v="27"/>
    <d v="2025-05-30T00:00:00"/>
    <x v="0"/>
    <x v="3"/>
    <s v="Mobile"/>
    <s v="Organic"/>
    <s v="Free"/>
    <n v="1"/>
    <n v="0"/>
    <n v="0"/>
    <n v="0"/>
    <n v="0"/>
    <n v="0"/>
    <n v="0"/>
    <n v="0"/>
    <n v="73.8"/>
  </r>
  <r>
    <x v="28"/>
    <d v="2025-01-20T00:00:00"/>
    <x v="0"/>
    <x v="2"/>
    <s v="Tablet"/>
    <s v="Organic"/>
    <s v="Basic"/>
    <n v="0"/>
    <n v="0"/>
    <n v="0"/>
    <n v="0"/>
    <n v="0"/>
    <n v="0"/>
    <n v="0"/>
    <n v="0"/>
    <n v="60.1"/>
  </r>
  <r>
    <x v="29"/>
    <d v="2025-05-19T00:00:00"/>
    <x v="0"/>
    <x v="2"/>
    <s v="Mobile"/>
    <s v="Social"/>
    <s v="Basic"/>
    <n v="1"/>
    <n v="1"/>
    <n v="1"/>
    <n v="0"/>
    <n v="0"/>
    <n v="0"/>
    <n v="0"/>
    <n v="0"/>
    <n v="41"/>
  </r>
  <r>
    <x v="30"/>
    <d v="2025-02-18T00:00:00"/>
    <x v="0"/>
    <x v="3"/>
    <s v="Mobile"/>
    <s v="Organic"/>
    <s v="Basic"/>
    <n v="1"/>
    <n v="0"/>
    <n v="0"/>
    <n v="0"/>
    <n v="0"/>
    <n v="0"/>
    <n v="0"/>
    <n v="0"/>
    <n v="80.3"/>
  </r>
  <r>
    <x v="31"/>
    <d v="2025-02-13T00:00:00"/>
    <x v="0"/>
    <x v="2"/>
    <s v="Mobile"/>
    <s v="Organic"/>
    <s v="Free"/>
    <n v="0"/>
    <n v="0"/>
    <n v="0"/>
    <n v="0"/>
    <n v="0"/>
    <n v="0"/>
    <n v="0"/>
    <n v="0"/>
    <n v="67.599999999999994"/>
  </r>
  <r>
    <x v="32"/>
    <d v="2025-03-08T00:00:00"/>
    <x v="0"/>
    <x v="2"/>
    <s v="Desktop"/>
    <s v="Referral"/>
    <s v="Premium"/>
    <n v="0"/>
    <n v="0"/>
    <n v="0"/>
    <n v="0"/>
    <n v="0"/>
    <n v="0"/>
    <n v="0"/>
    <n v="0"/>
    <n v="64"/>
  </r>
  <r>
    <x v="33"/>
    <d v="2025-01-11T00:00:00"/>
    <x v="0"/>
    <x v="0"/>
    <s v="Mobile"/>
    <s v="Paid Search"/>
    <s v="Free"/>
    <n v="1"/>
    <n v="1"/>
    <n v="0"/>
    <n v="0"/>
    <n v="0"/>
    <n v="0"/>
    <n v="0"/>
    <n v="0"/>
    <n v="27.2"/>
  </r>
  <r>
    <x v="34"/>
    <d v="2025-02-12T00:00:00"/>
    <x v="0"/>
    <x v="0"/>
    <s v="Desktop"/>
    <s v="Organic"/>
    <s v="Free"/>
    <n v="1"/>
    <n v="0"/>
    <n v="0"/>
    <n v="0"/>
    <n v="0"/>
    <n v="0"/>
    <n v="0"/>
    <n v="0"/>
    <n v="85.4"/>
  </r>
  <r>
    <x v="35"/>
    <d v="2025-04-13T00:00:00"/>
    <x v="0"/>
    <x v="2"/>
    <s v="Desktop"/>
    <s v="Organic"/>
    <s v="Basic"/>
    <n v="1"/>
    <n v="0"/>
    <n v="0"/>
    <n v="0"/>
    <n v="0"/>
    <n v="0"/>
    <n v="0"/>
    <n v="0"/>
    <n v="75.900000000000006"/>
  </r>
  <r>
    <x v="36"/>
    <d v="2025-05-09T00:00:00"/>
    <x v="0"/>
    <x v="2"/>
    <s v="Mobile"/>
    <s v="Organic"/>
    <s v="Premium"/>
    <n v="1"/>
    <n v="0"/>
    <n v="0"/>
    <n v="0"/>
    <n v="0"/>
    <n v="1"/>
    <n v="0"/>
    <n v="0"/>
    <n v="34.799999999999997"/>
  </r>
  <r>
    <x v="37"/>
    <d v="2025-01-20T00:00:00"/>
    <x v="0"/>
    <x v="2"/>
    <s v="Mobile"/>
    <s v="Organic"/>
    <s v="Free"/>
    <n v="1"/>
    <n v="1"/>
    <n v="1"/>
    <n v="0"/>
    <n v="0"/>
    <n v="3"/>
    <n v="0"/>
    <n v="0"/>
    <n v="48.9"/>
  </r>
  <r>
    <x v="38"/>
    <d v="2025-05-13T00:00:00"/>
    <x v="0"/>
    <x v="2"/>
    <s v="Mobile"/>
    <s v="Email"/>
    <s v="Premium"/>
    <n v="1"/>
    <n v="0"/>
    <n v="0"/>
    <n v="0"/>
    <n v="0"/>
    <n v="0"/>
    <n v="0"/>
    <n v="0"/>
    <n v="41.5"/>
  </r>
  <r>
    <x v="39"/>
    <d v="2025-04-07T00:00:00"/>
    <x v="0"/>
    <x v="0"/>
    <s v="Desktop"/>
    <s v="Organic"/>
    <s v="Basic"/>
    <n v="1"/>
    <n v="0"/>
    <n v="0"/>
    <n v="0"/>
    <n v="0"/>
    <n v="0"/>
    <n v="0"/>
    <n v="0"/>
    <n v="51.5"/>
  </r>
  <r>
    <x v="40"/>
    <d v="2025-03-31T00:00:00"/>
    <x v="0"/>
    <x v="0"/>
    <s v="Desktop"/>
    <s v="Organic"/>
    <s v="Free"/>
    <n v="0"/>
    <n v="0"/>
    <n v="0"/>
    <n v="0"/>
    <n v="0"/>
    <n v="0"/>
    <n v="0"/>
    <n v="0"/>
    <n v="53.2"/>
  </r>
  <r>
    <x v="41"/>
    <d v="2025-01-25T00:00:00"/>
    <x v="0"/>
    <x v="2"/>
    <s v="Mobile"/>
    <s v="Email"/>
    <s v="Premium"/>
    <n v="0"/>
    <n v="0"/>
    <n v="0"/>
    <n v="0"/>
    <n v="0"/>
    <n v="0"/>
    <n v="0"/>
    <n v="0"/>
    <n v="55.6"/>
  </r>
  <r>
    <x v="42"/>
    <d v="2025-02-14T00:00:00"/>
    <x v="0"/>
    <x v="3"/>
    <s v="Desktop"/>
    <s v="Organic"/>
    <s v="Free"/>
    <n v="0"/>
    <n v="0"/>
    <n v="0"/>
    <n v="0"/>
    <n v="0"/>
    <n v="0"/>
    <n v="0"/>
    <n v="0"/>
    <n v="73"/>
  </r>
  <r>
    <x v="43"/>
    <d v="2025-02-27T00:00:00"/>
    <x v="0"/>
    <x v="2"/>
    <s v="Mobile"/>
    <s v="Email"/>
    <s v="Free"/>
    <n v="1"/>
    <n v="0"/>
    <n v="0"/>
    <n v="0"/>
    <n v="0"/>
    <n v="0"/>
    <n v="0"/>
    <n v="0"/>
    <n v="65"/>
  </r>
  <r>
    <x v="44"/>
    <d v="2025-03-28T00:00:00"/>
    <x v="0"/>
    <x v="2"/>
    <s v="Mobile"/>
    <s v="Social"/>
    <s v="Free"/>
    <n v="1"/>
    <n v="0"/>
    <n v="0"/>
    <n v="0"/>
    <n v="0"/>
    <n v="4"/>
    <n v="0"/>
    <n v="0"/>
    <n v="56.3"/>
  </r>
  <r>
    <x v="45"/>
    <d v="2025-05-25T00:00:00"/>
    <x v="0"/>
    <x v="2"/>
    <s v="Mobile"/>
    <s v="Referral"/>
    <s v="Premium"/>
    <n v="1"/>
    <n v="0"/>
    <n v="0"/>
    <n v="0"/>
    <n v="0"/>
    <n v="0"/>
    <n v="0"/>
    <n v="0"/>
    <n v="62.4"/>
  </r>
  <r>
    <x v="46"/>
    <d v="2025-05-05T00:00:00"/>
    <x v="0"/>
    <x v="1"/>
    <s v="Desktop"/>
    <s v="Organic"/>
    <s v="Free"/>
    <n v="1"/>
    <n v="1"/>
    <n v="1"/>
    <n v="0"/>
    <n v="0"/>
    <n v="0"/>
    <n v="0"/>
    <n v="0"/>
    <n v="58.1"/>
  </r>
  <r>
    <x v="47"/>
    <d v="2025-05-16T00:00:00"/>
    <x v="0"/>
    <x v="0"/>
    <s v="Mobile"/>
    <s v="Organic"/>
    <s v="Free"/>
    <n v="1"/>
    <n v="1"/>
    <n v="1"/>
    <n v="0"/>
    <n v="0"/>
    <n v="0"/>
    <n v="0"/>
    <n v="0"/>
    <n v="80.8"/>
  </r>
  <r>
    <x v="48"/>
    <d v="2025-01-08T00:00:00"/>
    <x v="0"/>
    <x v="0"/>
    <s v="Mobile"/>
    <s v="Social"/>
    <s v="Free"/>
    <n v="1"/>
    <n v="1"/>
    <n v="0"/>
    <n v="0"/>
    <n v="0"/>
    <n v="0"/>
    <n v="0"/>
    <n v="0"/>
    <n v="42.9"/>
  </r>
  <r>
    <x v="49"/>
    <d v="2025-01-06T00:00:00"/>
    <x v="0"/>
    <x v="1"/>
    <s v="Desktop"/>
    <s v="Paid Search"/>
    <s v="Free"/>
    <n v="1"/>
    <n v="0"/>
    <n v="0"/>
    <n v="0"/>
    <n v="0"/>
    <n v="0"/>
    <n v="0"/>
    <n v="0"/>
    <n v="52.7"/>
  </r>
  <r>
    <x v="50"/>
    <d v="2025-01-12T00:00:00"/>
    <x v="0"/>
    <x v="0"/>
    <s v="Mobile"/>
    <s v="Social"/>
    <s v="Basic"/>
    <n v="0"/>
    <n v="0"/>
    <n v="0"/>
    <n v="0"/>
    <n v="0"/>
    <n v="0"/>
    <n v="0"/>
    <n v="0"/>
    <n v="46.9"/>
  </r>
  <r>
    <x v="51"/>
    <d v="2025-02-14T00:00:00"/>
    <x v="0"/>
    <x v="2"/>
    <s v="Desktop"/>
    <s v="Email"/>
    <s v="Premium"/>
    <n v="1"/>
    <n v="0"/>
    <n v="0"/>
    <n v="0"/>
    <n v="0"/>
    <n v="0"/>
    <n v="0"/>
    <n v="0"/>
    <n v="63"/>
  </r>
  <r>
    <x v="52"/>
    <d v="2025-03-10T00:00:00"/>
    <x v="0"/>
    <x v="3"/>
    <s v="Tablet"/>
    <s v="Organic"/>
    <s v="Free"/>
    <n v="0"/>
    <n v="0"/>
    <n v="0"/>
    <n v="0"/>
    <n v="0"/>
    <n v="0"/>
    <n v="0"/>
    <n v="0"/>
    <n v="53.6"/>
  </r>
  <r>
    <x v="53"/>
    <d v="2025-04-20T00:00:00"/>
    <x v="0"/>
    <x v="1"/>
    <s v="Desktop"/>
    <s v="Organic"/>
    <s v="Basic"/>
    <n v="0"/>
    <n v="0"/>
    <n v="0"/>
    <n v="0"/>
    <n v="0"/>
    <n v="0"/>
    <n v="0"/>
    <n v="0"/>
    <n v="49.6"/>
  </r>
  <r>
    <x v="54"/>
    <d v="2025-02-19T00:00:00"/>
    <x v="0"/>
    <x v="3"/>
    <s v="Mobile"/>
    <s v="Organic"/>
    <s v="Free"/>
    <n v="0"/>
    <n v="0"/>
    <n v="0"/>
    <n v="0"/>
    <n v="0"/>
    <n v="0"/>
    <n v="0"/>
    <n v="0"/>
    <n v="54"/>
  </r>
  <r>
    <x v="55"/>
    <d v="2025-05-17T00:00:00"/>
    <x v="0"/>
    <x v="3"/>
    <s v="Mobile"/>
    <s v="Social"/>
    <s v="Basic"/>
    <n v="1"/>
    <n v="0"/>
    <n v="0"/>
    <n v="0"/>
    <n v="0"/>
    <n v="2"/>
    <n v="0"/>
    <n v="0"/>
    <n v="50"/>
  </r>
  <r>
    <x v="56"/>
    <d v="2025-04-01T00:00:00"/>
    <x v="0"/>
    <x v="2"/>
    <s v="Mobile"/>
    <s v="Social"/>
    <s v="Basic"/>
    <n v="0"/>
    <n v="0"/>
    <n v="0"/>
    <n v="0"/>
    <n v="0"/>
    <n v="0"/>
    <n v="0"/>
    <n v="0"/>
    <n v="48.1"/>
  </r>
  <r>
    <x v="57"/>
    <d v="2025-02-04T00:00:00"/>
    <x v="0"/>
    <x v="0"/>
    <s v="Desktop"/>
    <s v="Organic"/>
    <s v="Free"/>
    <n v="1"/>
    <n v="0"/>
    <n v="0"/>
    <n v="0"/>
    <n v="0"/>
    <n v="0"/>
    <n v="0"/>
    <n v="0"/>
    <n v="49.6"/>
  </r>
  <r>
    <x v="58"/>
    <d v="2025-04-14T00:00:00"/>
    <x v="0"/>
    <x v="0"/>
    <s v="Mobile"/>
    <s v="Social"/>
    <s v="Free"/>
    <n v="0"/>
    <n v="0"/>
    <n v="0"/>
    <n v="0"/>
    <n v="0"/>
    <n v="2"/>
    <n v="0"/>
    <n v="0"/>
    <n v="48.9"/>
  </r>
  <r>
    <x v="59"/>
    <d v="2025-01-01T00:00:00"/>
    <x v="0"/>
    <x v="1"/>
    <s v="Mobile"/>
    <s v="Social"/>
    <s v="Free"/>
    <n v="1"/>
    <n v="1"/>
    <n v="1"/>
    <n v="1"/>
    <n v="240.42"/>
    <n v="0"/>
    <n v="0"/>
    <n v="16"/>
    <n v="56.5"/>
  </r>
  <r>
    <x v="60"/>
    <d v="2025-04-02T00:00:00"/>
    <x v="0"/>
    <x v="3"/>
    <s v="Mobile"/>
    <s v="Referral"/>
    <s v="Free"/>
    <n v="1"/>
    <n v="0"/>
    <n v="0"/>
    <n v="0"/>
    <n v="0"/>
    <n v="0"/>
    <n v="0"/>
    <n v="0"/>
    <n v="53.7"/>
  </r>
  <r>
    <x v="61"/>
    <d v="2025-03-29T00:00:00"/>
    <x v="0"/>
    <x v="0"/>
    <s v="Mobile"/>
    <s v="Social"/>
    <s v="Premium"/>
    <n v="0"/>
    <n v="0"/>
    <n v="0"/>
    <n v="0"/>
    <n v="0"/>
    <n v="0"/>
    <n v="0"/>
    <n v="0"/>
    <n v="62.2"/>
  </r>
  <r>
    <x v="62"/>
    <d v="2025-05-15T00:00:00"/>
    <x v="0"/>
    <x v="3"/>
    <s v="Desktop"/>
    <s v="Organic"/>
    <s v="Free"/>
    <n v="1"/>
    <n v="0"/>
    <n v="0"/>
    <n v="0"/>
    <n v="0"/>
    <n v="0"/>
    <n v="0"/>
    <n v="0"/>
    <n v="50.2"/>
  </r>
  <r>
    <x v="63"/>
    <d v="2025-04-11T00:00:00"/>
    <x v="0"/>
    <x v="0"/>
    <s v="Mobile"/>
    <s v="Organic"/>
    <s v="Basic"/>
    <n v="1"/>
    <n v="0"/>
    <n v="0"/>
    <n v="0"/>
    <n v="0"/>
    <n v="0"/>
    <n v="0"/>
    <n v="0"/>
    <n v="74.3"/>
  </r>
  <r>
    <x v="64"/>
    <d v="2025-03-07T00:00:00"/>
    <x v="0"/>
    <x v="3"/>
    <s v="Desktop"/>
    <s v="Paid Search"/>
    <s v="Free"/>
    <n v="1"/>
    <n v="0"/>
    <n v="0"/>
    <n v="0"/>
    <n v="0"/>
    <n v="0"/>
    <n v="0"/>
    <n v="0"/>
    <n v="58"/>
  </r>
  <r>
    <x v="65"/>
    <d v="2025-05-30T00:00:00"/>
    <x v="0"/>
    <x v="3"/>
    <s v="Mobile"/>
    <s v="Organic"/>
    <s v="Free"/>
    <n v="0"/>
    <n v="0"/>
    <n v="0"/>
    <n v="0"/>
    <n v="0"/>
    <n v="0"/>
    <n v="0"/>
    <n v="0"/>
    <n v="46.7"/>
  </r>
  <r>
    <x v="66"/>
    <d v="2025-01-07T00:00:00"/>
    <x v="0"/>
    <x v="3"/>
    <s v="Desktop"/>
    <s v="Organic"/>
    <s v="Premium"/>
    <n v="1"/>
    <n v="0"/>
    <n v="0"/>
    <n v="0"/>
    <n v="0"/>
    <n v="1"/>
    <n v="0"/>
    <n v="0"/>
    <n v="49.6"/>
  </r>
  <r>
    <x v="67"/>
    <d v="2025-05-08T00:00:00"/>
    <x v="0"/>
    <x v="1"/>
    <s v="Mobile"/>
    <s v="Social"/>
    <s v="Free"/>
    <n v="0"/>
    <n v="0"/>
    <n v="0"/>
    <n v="0"/>
    <n v="0"/>
    <n v="0"/>
    <n v="0"/>
    <n v="0"/>
    <n v="60.4"/>
  </r>
  <r>
    <x v="68"/>
    <d v="2025-03-19T00:00:00"/>
    <x v="0"/>
    <x v="2"/>
    <s v="Desktop"/>
    <s v="Email"/>
    <s v="Free"/>
    <n v="1"/>
    <n v="1"/>
    <n v="1"/>
    <n v="0"/>
    <n v="0"/>
    <n v="0"/>
    <n v="0"/>
    <n v="0"/>
    <n v="55.3"/>
  </r>
  <r>
    <x v="69"/>
    <d v="2025-05-16T00:00:00"/>
    <x v="0"/>
    <x v="0"/>
    <s v="Desktop"/>
    <s v="Organic"/>
    <s v="Free"/>
    <n v="0"/>
    <n v="0"/>
    <n v="0"/>
    <n v="0"/>
    <n v="0"/>
    <n v="0"/>
    <n v="0"/>
    <n v="0"/>
    <n v="56.2"/>
  </r>
  <r>
    <x v="70"/>
    <d v="2025-03-08T00:00:00"/>
    <x v="0"/>
    <x v="1"/>
    <s v="Mobile"/>
    <s v="Email"/>
    <s v="Free"/>
    <n v="0"/>
    <n v="0"/>
    <n v="0"/>
    <n v="0"/>
    <n v="0"/>
    <n v="0"/>
    <n v="0"/>
    <n v="0"/>
    <n v="29.4"/>
  </r>
  <r>
    <x v="71"/>
    <d v="2025-03-08T00:00:00"/>
    <x v="0"/>
    <x v="2"/>
    <s v="Mobile"/>
    <s v="Email"/>
    <s v="Free"/>
    <n v="1"/>
    <n v="0"/>
    <n v="0"/>
    <n v="0"/>
    <n v="0"/>
    <n v="0"/>
    <n v="0"/>
    <n v="0"/>
    <n v="54.2"/>
  </r>
  <r>
    <x v="72"/>
    <d v="2025-01-14T00:00:00"/>
    <x v="0"/>
    <x v="2"/>
    <s v="Desktop"/>
    <s v="Paid Search"/>
    <s v="Basic"/>
    <n v="0"/>
    <n v="0"/>
    <n v="0"/>
    <n v="0"/>
    <n v="0"/>
    <n v="0"/>
    <n v="0"/>
    <n v="0"/>
    <n v="46.4"/>
  </r>
  <r>
    <x v="73"/>
    <d v="2025-02-10T00:00:00"/>
    <x v="0"/>
    <x v="3"/>
    <s v="Mobile"/>
    <s v="Paid Search"/>
    <s v="Basic"/>
    <n v="0"/>
    <n v="0"/>
    <n v="0"/>
    <n v="0"/>
    <n v="0"/>
    <n v="0"/>
    <n v="0"/>
    <n v="0"/>
    <n v="54.5"/>
  </r>
  <r>
    <x v="74"/>
    <d v="2025-03-17T00:00:00"/>
    <x v="0"/>
    <x v="0"/>
    <s v="Mobile"/>
    <s v="Organic"/>
    <s v="Free"/>
    <n v="0"/>
    <n v="0"/>
    <n v="0"/>
    <n v="0"/>
    <n v="0"/>
    <n v="0"/>
    <n v="0"/>
    <n v="0"/>
    <n v="58.5"/>
  </r>
  <r>
    <x v="75"/>
    <d v="2025-01-09T00:00:00"/>
    <x v="0"/>
    <x v="3"/>
    <s v="Mobile"/>
    <s v="Email"/>
    <s v="Free"/>
    <n v="0"/>
    <n v="0"/>
    <n v="0"/>
    <n v="0"/>
    <n v="0"/>
    <n v="0"/>
    <n v="0"/>
    <n v="0"/>
    <n v="75.900000000000006"/>
  </r>
  <r>
    <x v="76"/>
    <d v="2025-04-17T00:00:00"/>
    <x v="0"/>
    <x v="0"/>
    <s v="Mobile"/>
    <s v="Referral"/>
    <s v="Free"/>
    <n v="0"/>
    <n v="0"/>
    <n v="0"/>
    <n v="0"/>
    <n v="0"/>
    <n v="1"/>
    <n v="0"/>
    <n v="0"/>
    <n v="84.9"/>
  </r>
  <r>
    <x v="77"/>
    <d v="2025-01-16T00:00:00"/>
    <x v="0"/>
    <x v="0"/>
    <s v="Mobile"/>
    <s v="Organic"/>
    <s v="Free"/>
    <n v="0"/>
    <n v="0"/>
    <n v="0"/>
    <n v="0"/>
    <n v="0"/>
    <n v="2"/>
    <n v="0"/>
    <n v="0"/>
    <n v="48.4"/>
  </r>
  <r>
    <x v="78"/>
    <d v="2025-02-20T00:00:00"/>
    <x v="0"/>
    <x v="1"/>
    <s v="Desktop"/>
    <s v="Organic"/>
    <s v="Free"/>
    <n v="1"/>
    <n v="1"/>
    <n v="1"/>
    <n v="1"/>
    <n v="457.51"/>
    <n v="0"/>
    <n v="0"/>
    <n v="7"/>
    <n v="38"/>
  </r>
  <r>
    <x v="79"/>
    <d v="2025-05-21T00:00:00"/>
    <x v="0"/>
    <x v="2"/>
    <s v="Mobile"/>
    <s v="Social"/>
    <s v="Free"/>
    <n v="1"/>
    <n v="0"/>
    <n v="0"/>
    <n v="0"/>
    <n v="0"/>
    <n v="0"/>
    <n v="0"/>
    <n v="0"/>
    <n v="44.2"/>
  </r>
  <r>
    <x v="80"/>
    <d v="2025-05-08T00:00:00"/>
    <x v="0"/>
    <x v="3"/>
    <s v="Mobile"/>
    <s v="Organic"/>
    <s v="Free"/>
    <n v="1"/>
    <n v="1"/>
    <n v="1"/>
    <n v="0"/>
    <n v="0"/>
    <n v="0"/>
    <n v="0"/>
    <n v="0"/>
    <n v="81.2"/>
  </r>
  <r>
    <x v="81"/>
    <d v="2025-03-08T00:00:00"/>
    <x v="0"/>
    <x v="3"/>
    <s v="Mobile"/>
    <s v="Referral"/>
    <s v="Free"/>
    <n v="1"/>
    <n v="1"/>
    <n v="0"/>
    <n v="0"/>
    <n v="0"/>
    <n v="0"/>
    <n v="0"/>
    <n v="0"/>
    <n v="63.8"/>
  </r>
  <r>
    <x v="82"/>
    <d v="2025-04-01T00:00:00"/>
    <x v="0"/>
    <x v="3"/>
    <s v="Desktop"/>
    <s v="Email"/>
    <s v="Free"/>
    <n v="0"/>
    <n v="0"/>
    <n v="0"/>
    <n v="0"/>
    <n v="0"/>
    <n v="0"/>
    <n v="0"/>
    <n v="0"/>
    <n v="64.7"/>
  </r>
  <r>
    <x v="83"/>
    <d v="2025-03-03T00:00:00"/>
    <x v="0"/>
    <x v="1"/>
    <s v="Mobile"/>
    <s v="Social"/>
    <s v="Basic"/>
    <n v="0"/>
    <n v="0"/>
    <n v="0"/>
    <n v="0"/>
    <n v="0"/>
    <n v="0"/>
    <n v="0"/>
    <n v="0"/>
    <n v="60.4"/>
  </r>
  <r>
    <x v="84"/>
    <d v="2025-04-16T00:00:00"/>
    <x v="0"/>
    <x v="3"/>
    <s v="Mobile"/>
    <s v="Paid Search"/>
    <s v="Free"/>
    <n v="0"/>
    <n v="0"/>
    <n v="0"/>
    <n v="0"/>
    <n v="0"/>
    <n v="0"/>
    <n v="0"/>
    <n v="0"/>
    <n v="66.599999999999994"/>
  </r>
  <r>
    <x v="85"/>
    <d v="2025-01-09T00:00:00"/>
    <x v="0"/>
    <x v="0"/>
    <s v="Desktop"/>
    <s v="Organic"/>
    <s v="Free"/>
    <n v="1"/>
    <n v="0"/>
    <n v="0"/>
    <n v="0"/>
    <n v="0"/>
    <n v="0"/>
    <n v="0"/>
    <n v="0"/>
    <n v="50.9"/>
  </r>
  <r>
    <x v="86"/>
    <d v="2025-01-22T00:00:00"/>
    <x v="0"/>
    <x v="1"/>
    <s v="Desktop"/>
    <s v="Social"/>
    <s v="Basic"/>
    <n v="0"/>
    <n v="0"/>
    <n v="0"/>
    <n v="0"/>
    <n v="0"/>
    <n v="0"/>
    <n v="0"/>
    <n v="0"/>
    <n v="51"/>
  </r>
  <r>
    <x v="87"/>
    <d v="2025-04-30T00:00:00"/>
    <x v="0"/>
    <x v="3"/>
    <s v="Mobile"/>
    <s v="Email"/>
    <s v="Premium"/>
    <n v="0"/>
    <n v="0"/>
    <n v="0"/>
    <n v="0"/>
    <n v="0"/>
    <n v="0"/>
    <n v="0"/>
    <n v="0"/>
    <n v="65.8"/>
  </r>
  <r>
    <x v="88"/>
    <d v="2025-04-25T00:00:00"/>
    <x v="0"/>
    <x v="0"/>
    <s v="Mobile"/>
    <s v="Referral"/>
    <s v="Basic"/>
    <n v="1"/>
    <n v="0"/>
    <n v="0"/>
    <n v="0"/>
    <n v="0"/>
    <n v="0"/>
    <n v="0"/>
    <n v="0"/>
    <n v="61.8"/>
  </r>
  <r>
    <x v="89"/>
    <d v="2025-02-01T00:00:00"/>
    <x v="0"/>
    <x v="0"/>
    <s v="Mobile"/>
    <s v="Organic"/>
    <s v="Basic"/>
    <n v="1"/>
    <n v="0"/>
    <n v="0"/>
    <n v="0"/>
    <n v="0"/>
    <n v="0"/>
    <n v="0"/>
    <n v="0"/>
    <n v="54.5"/>
  </r>
  <r>
    <x v="90"/>
    <d v="2025-04-23T00:00:00"/>
    <x v="0"/>
    <x v="3"/>
    <s v="Desktop"/>
    <s v="Organic"/>
    <s v="Free"/>
    <n v="1"/>
    <n v="0"/>
    <n v="0"/>
    <n v="0"/>
    <n v="0"/>
    <n v="0"/>
    <n v="0"/>
    <n v="0"/>
    <n v="72.2"/>
  </r>
  <r>
    <x v="91"/>
    <d v="2025-02-27T00:00:00"/>
    <x v="0"/>
    <x v="3"/>
    <s v="Mobile"/>
    <s v="Social"/>
    <s v="Free"/>
    <n v="1"/>
    <n v="0"/>
    <n v="0"/>
    <n v="0"/>
    <n v="0"/>
    <n v="0"/>
    <n v="0"/>
    <n v="0"/>
    <n v="42.3"/>
  </r>
  <r>
    <x v="92"/>
    <d v="2025-04-09T00:00:00"/>
    <x v="0"/>
    <x v="2"/>
    <s v="Desktop"/>
    <s v="Organic"/>
    <s v="Basic"/>
    <n v="1"/>
    <n v="0"/>
    <n v="0"/>
    <n v="0"/>
    <n v="0"/>
    <n v="0"/>
    <n v="0"/>
    <n v="0"/>
    <n v="76.2"/>
  </r>
  <r>
    <x v="93"/>
    <d v="2025-05-13T00:00:00"/>
    <x v="0"/>
    <x v="3"/>
    <s v="Tablet"/>
    <s v="Organic"/>
    <s v="Premium"/>
    <n v="1"/>
    <n v="1"/>
    <n v="1"/>
    <n v="0"/>
    <n v="0"/>
    <n v="1"/>
    <n v="0"/>
    <n v="0"/>
    <n v="37.4"/>
  </r>
  <r>
    <x v="94"/>
    <d v="2025-04-13T00:00:00"/>
    <x v="0"/>
    <x v="2"/>
    <s v="Mobile"/>
    <s v="Organic"/>
    <s v="Free"/>
    <n v="0"/>
    <n v="0"/>
    <n v="0"/>
    <n v="0"/>
    <n v="0"/>
    <n v="0"/>
    <n v="0"/>
    <n v="0"/>
    <n v="84.2"/>
  </r>
  <r>
    <x v="95"/>
    <d v="2025-02-05T00:00:00"/>
    <x v="0"/>
    <x v="2"/>
    <s v="Mobile"/>
    <s v="Social"/>
    <s v="Free"/>
    <n v="0"/>
    <n v="0"/>
    <n v="0"/>
    <n v="0"/>
    <n v="0"/>
    <n v="0"/>
    <n v="0"/>
    <n v="0"/>
    <n v="68"/>
  </r>
  <r>
    <x v="96"/>
    <d v="2025-02-14T00:00:00"/>
    <x v="0"/>
    <x v="1"/>
    <s v="Mobile"/>
    <s v="Organic"/>
    <s v="Basic"/>
    <n v="1"/>
    <n v="0"/>
    <n v="0"/>
    <n v="0"/>
    <n v="0"/>
    <n v="0"/>
    <n v="0"/>
    <n v="0"/>
    <n v="53.5"/>
  </r>
  <r>
    <x v="97"/>
    <d v="2025-02-11T00:00:00"/>
    <x v="0"/>
    <x v="0"/>
    <s v="Desktop"/>
    <s v="Organic"/>
    <s v="Premium"/>
    <n v="1"/>
    <n v="0"/>
    <n v="0"/>
    <n v="0"/>
    <n v="0"/>
    <n v="0"/>
    <n v="0"/>
    <n v="0"/>
    <n v="63.2"/>
  </r>
  <r>
    <x v="98"/>
    <d v="2025-02-11T00:00:00"/>
    <x v="0"/>
    <x v="2"/>
    <s v="Desktop"/>
    <s v="Social"/>
    <s v="Free"/>
    <n v="1"/>
    <n v="1"/>
    <n v="1"/>
    <n v="1"/>
    <n v="363.32"/>
    <n v="0"/>
    <n v="0"/>
    <n v="9"/>
    <n v="55.9"/>
  </r>
  <r>
    <x v="99"/>
    <d v="2025-05-26T00:00:00"/>
    <x v="0"/>
    <x v="0"/>
    <s v="Mobile"/>
    <s v="Organic"/>
    <s v="Free"/>
    <n v="1"/>
    <n v="0"/>
    <n v="0"/>
    <n v="0"/>
    <n v="0"/>
    <n v="0"/>
    <n v="0"/>
    <n v="0"/>
    <n v="63.5"/>
  </r>
  <r>
    <x v="100"/>
    <d v="2025-03-22T00:00:00"/>
    <x v="0"/>
    <x v="0"/>
    <s v="Mobile"/>
    <s v="Paid Search"/>
    <s v="Basic"/>
    <n v="1"/>
    <n v="0"/>
    <n v="0"/>
    <n v="0"/>
    <n v="0"/>
    <n v="0"/>
    <n v="0"/>
    <n v="0"/>
    <n v="51.5"/>
  </r>
  <r>
    <x v="101"/>
    <d v="2025-04-08T00:00:00"/>
    <x v="0"/>
    <x v="1"/>
    <s v="Mobile"/>
    <s v="Paid Search"/>
    <s v="Free"/>
    <n v="1"/>
    <n v="0"/>
    <n v="0"/>
    <n v="0"/>
    <n v="0"/>
    <n v="0"/>
    <n v="0"/>
    <n v="0"/>
    <n v="74.400000000000006"/>
  </r>
  <r>
    <x v="102"/>
    <d v="2025-04-14T00:00:00"/>
    <x v="0"/>
    <x v="0"/>
    <s v="Desktop"/>
    <s v="Social"/>
    <s v="Free"/>
    <n v="1"/>
    <n v="1"/>
    <n v="1"/>
    <n v="1"/>
    <n v="3887.98"/>
    <n v="0"/>
    <n v="0"/>
    <n v="13"/>
    <n v="60.2"/>
  </r>
  <r>
    <x v="103"/>
    <d v="2025-03-27T00:00:00"/>
    <x v="0"/>
    <x v="3"/>
    <s v="Mobile"/>
    <s v="Email"/>
    <s v="Free"/>
    <n v="1"/>
    <n v="0"/>
    <n v="0"/>
    <n v="0"/>
    <n v="0"/>
    <n v="1"/>
    <n v="0"/>
    <n v="0"/>
    <n v="67.2"/>
  </r>
  <r>
    <x v="104"/>
    <d v="2025-01-05T00:00:00"/>
    <x v="0"/>
    <x v="3"/>
    <s v="Mobile"/>
    <s v="Social"/>
    <s v="Free"/>
    <n v="1"/>
    <n v="1"/>
    <n v="1"/>
    <n v="0"/>
    <n v="0"/>
    <n v="0"/>
    <n v="0"/>
    <n v="0"/>
    <n v="79.599999999999994"/>
  </r>
  <r>
    <x v="105"/>
    <d v="2025-01-25T00:00:00"/>
    <x v="0"/>
    <x v="3"/>
    <s v="Mobile"/>
    <s v="Social"/>
    <s v="Basic"/>
    <n v="1"/>
    <n v="1"/>
    <n v="1"/>
    <n v="1"/>
    <n v="8610.7199999999993"/>
    <n v="0"/>
    <n v="0"/>
    <n v="6"/>
    <n v="61"/>
  </r>
  <r>
    <x v="106"/>
    <d v="2025-01-23T00:00:00"/>
    <x v="0"/>
    <x v="1"/>
    <s v="Mobile"/>
    <s v="Email"/>
    <s v="Free"/>
    <n v="1"/>
    <n v="1"/>
    <n v="1"/>
    <n v="0"/>
    <n v="0"/>
    <n v="4"/>
    <n v="0"/>
    <n v="0"/>
    <n v="51.1"/>
  </r>
  <r>
    <x v="107"/>
    <d v="2025-05-25T00:00:00"/>
    <x v="0"/>
    <x v="2"/>
    <s v="Desktop"/>
    <s v="Referral"/>
    <s v="Free"/>
    <n v="1"/>
    <n v="0"/>
    <n v="0"/>
    <n v="0"/>
    <n v="0"/>
    <n v="0"/>
    <n v="0"/>
    <n v="0"/>
    <n v="92.1"/>
  </r>
  <r>
    <x v="108"/>
    <d v="2025-03-22T00:00:00"/>
    <x v="0"/>
    <x v="3"/>
    <s v="Mobile"/>
    <s v="Referral"/>
    <s v="Basic"/>
    <n v="0"/>
    <n v="0"/>
    <n v="0"/>
    <n v="0"/>
    <n v="0"/>
    <n v="0"/>
    <n v="0"/>
    <n v="0"/>
    <n v="82.1"/>
  </r>
  <r>
    <x v="109"/>
    <d v="2025-02-12T00:00:00"/>
    <x v="0"/>
    <x v="1"/>
    <s v="Desktop"/>
    <s v="Paid Search"/>
    <s v="Basic"/>
    <n v="1"/>
    <n v="0"/>
    <n v="0"/>
    <n v="0"/>
    <n v="0"/>
    <n v="1"/>
    <n v="0"/>
    <n v="0"/>
    <n v="74"/>
  </r>
  <r>
    <x v="110"/>
    <d v="2025-04-28T00:00:00"/>
    <x v="0"/>
    <x v="1"/>
    <s v="Desktop"/>
    <s v="Organic"/>
    <s v="Basic"/>
    <n v="1"/>
    <n v="0"/>
    <n v="0"/>
    <n v="0"/>
    <n v="0"/>
    <n v="0"/>
    <n v="0"/>
    <n v="0"/>
    <n v="63.4"/>
  </r>
  <r>
    <x v="111"/>
    <d v="2025-01-30T00:00:00"/>
    <x v="0"/>
    <x v="0"/>
    <s v="Mobile"/>
    <s v="Organic"/>
    <s v="Basic"/>
    <n v="1"/>
    <n v="0"/>
    <n v="0"/>
    <n v="0"/>
    <n v="0"/>
    <n v="0"/>
    <n v="0"/>
    <n v="0"/>
    <n v="53.2"/>
  </r>
  <r>
    <x v="112"/>
    <d v="2025-05-19T00:00:00"/>
    <x v="0"/>
    <x v="2"/>
    <s v="Tablet"/>
    <s v="Paid Search"/>
    <s v="Free"/>
    <n v="0"/>
    <n v="0"/>
    <n v="0"/>
    <n v="0"/>
    <n v="0"/>
    <n v="0"/>
    <n v="0"/>
    <n v="0"/>
    <n v="48.1"/>
  </r>
  <r>
    <x v="113"/>
    <d v="2025-01-23T00:00:00"/>
    <x v="0"/>
    <x v="3"/>
    <s v="Mobile"/>
    <s v="Social"/>
    <s v="Free"/>
    <n v="1"/>
    <n v="1"/>
    <n v="0"/>
    <n v="0"/>
    <n v="0"/>
    <n v="0"/>
    <n v="0"/>
    <n v="0"/>
    <n v="61.5"/>
  </r>
  <r>
    <x v="114"/>
    <d v="2025-03-28T00:00:00"/>
    <x v="0"/>
    <x v="2"/>
    <s v="Desktop"/>
    <s v="Social"/>
    <s v="Free"/>
    <n v="1"/>
    <n v="0"/>
    <n v="0"/>
    <n v="0"/>
    <n v="0"/>
    <n v="0"/>
    <n v="0"/>
    <n v="0"/>
    <n v="63.2"/>
  </r>
  <r>
    <x v="115"/>
    <d v="2025-01-11T00:00:00"/>
    <x v="0"/>
    <x v="1"/>
    <s v="Mobile"/>
    <s v="Organic"/>
    <s v="Free"/>
    <n v="0"/>
    <n v="0"/>
    <n v="0"/>
    <n v="0"/>
    <n v="0"/>
    <n v="0"/>
    <n v="0"/>
    <n v="0"/>
    <n v="71.900000000000006"/>
  </r>
  <r>
    <x v="116"/>
    <d v="2025-04-11T00:00:00"/>
    <x v="0"/>
    <x v="0"/>
    <s v="Mobile"/>
    <s v="Referral"/>
    <s v="Free"/>
    <n v="0"/>
    <n v="0"/>
    <n v="0"/>
    <n v="0"/>
    <n v="0"/>
    <n v="0"/>
    <n v="0"/>
    <n v="0"/>
    <n v="62.7"/>
  </r>
  <r>
    <x v="117"/>
    <d v="2025-01-02T00:00:00"/>
    <x v="0"/>
    <x v="1"/>
    <s v="Mobile"/>
    <s v="Paid Search"/>
    <s v="Free"/>
    <n v="1"/>
    <n v="0"/>
    <n v="0"/>
    <n v="0"/>
    <n v="0"/>
    <n v="0"/>
    <n v="0"/>
    <n v="0"/>
    <n v="51.5"/>
  </r>
  <r>
    <x v="118"/>
    <d v="2025-03-18T00:00:00"/>
    <x v="0"/>
    <x v="2"/>
    <s v="Mobile"/>
    <s v="Social"/>
    <s v="Free"/>
    <n v="1"/>
    <n v="1"/>
    <n v="1"/>
    <n v="0"/>
    <n v="0"/>
    <n v="0"/>
    <n v="0"/>
    <n v="0"/>
    <n v="39.1"/>
  </r>
  <r>
    <x v="119"/>
    <d v="2025-03-31T00:00:00"/>
    <x v="0"/>
    <x v="0"/>
    <s v="Mobile"/>
    <s v="Email"/>
    <s v="Free"/>
    <n v="1"/>
    <n v="0"/>
    <n v="0"/>
    <n v="0"/>
    <n v="0"/>
    <n v="0"/>
    <n v="0"/>
    <n v="0"/>
    <n v="43.8"/>
  </r>
  <r>
    <x v="120"/>
    <d v="2025-01-06T00:00:00"/>
    <x v="0"/>
    <x v="0"/>
    <s v="Mobile"/>
    <s v="Paid Search"/>
    <s v="Basic"/>
    <n v="1"/>
    <n v="0"/>
    <n v="0"/>
    <n v="0"/>
    <n v="0"/>
    <n v="0"/>
    <n v="0"/>
    <n v="0"/>
    <n v="59.9"/>
  </r>
  <r>
    <x v="121"/>
    <d v="2025-01-26T00:00:00"/>
    <x v="0"/>
    <x v="0"/>
    <s v="Mobile"/>
    <s v="Referral"/>
    <s v="Free"/>
    <n v="1"/>
    <n v="1"/>
    <n v="0"/>
    <n v="0"/>
    <n v="0"/>
    <n v="0"/>
    <n v="0"/>
    <n v="0"/>
    <n v="71.400000000000006"/>
  </r>
  <r>
    <x v="122"/>
    <d v="2025-04-22T00:00:00"/>
    <x v="0"/>
    <x v="3"/>
    <s v="Mobile"/>
    <s v="Referral"/>
    <s v="Basic"/>
    <n v="0"/>
    <n v="0"/>
    <n v="0"/>
    <n v="0"/>
    <n v="0"/>
    <n v="0"/>
    <n v="0"/>
    <n v="0"/>
    <n v="36.1"/>
  </r>
  <r>
    <x v="123"/>
    <d v="2025-05-30T00:00:00"/>
    <x v="0"/>
    <x v="1"/>
    <s v="Unknown"/>
    <s v="Email"/>
    <s v="Basic"/>
    <n v="1"/>
    <n v="1"/>
    <n v="0"/>
    <n v="0"/>
    <n v="0"/>
    <n v="0"/>
    <n v="0"/>
    <n v="0"/>
    <n v="47.9"/>
  </r>
  <r>
    <x v="124"/>
    <d v="2025-05-18T00:00:00"/>
    <x v="0"/>
    <x v="1"/>
    <s v="Desktop"/>
    <s v="Organic"/>
    <s v="Premium"/>
    <n v="1"/>
    <n v="0"/>
    <n v="0"/>
    <n v="0"/>
    <n v="0"/>
    <n v="0"/>
    <n v="0"/>
    <n v="0"/>
    <n v="62.5"/>
  </r>
  <r>
    <x v="125"/>
    <d v="2025-01-13T00:00:00"/>
    <x v="0"/>
    <x v="3"/>
    <s v="Desktop"/>
    <s v="Paid Search"/>
    <s v="Premium"/>
    <n v="1"/>
    <n v="0"/>
    <n v="0"/>
    <n v="0"/>
    <n v="0"/>
    <n v="0"/>
    <n v="0"/>
    <n v="0"/>
    <n v="56.9"/>
  </r>
  <r>
    <x v="126"/>
    <d v="2025-03-25T00:00:00"/>
    <x v="0"/>
    <x v="0"/>
    <s v="Desktop"/>
    <s v="Email"/>
    <s v="Free"/>
    <n v="0"/>
    <n v="0"/>
    <n v="0"/>
    <n v="0"/>
    <n v="0"/>
    <n v="0"/>
    <n v="0"/>
    <n v="0"/>
    <n v="64.7"/>
  </r>
  <r>
    <x v="127"/>
    <d v="2025-04-29T00:00:00"/>
    <x v="0"/>
    <x v="3"/>
    <s v="Desktop"/>
    <s v="Organic"/>
    <s v="Free"/>
    <n v="1"/>
    <n v="1"/>
    <n v="1"/>
    <n v="0"/>
    <n v="0"/>
    <n v="0"/>
    <n v="0"/>
    <n v="0"/>
    <n v="64"/>
  </r>
  <r>
    <x v="128"/>
    <d v="2025-05-17T00:00:00"/>
    <x v="0"/>
    <x v="2"/>
    <s v="Mobile"/>
    <s v="Referral"/>
    <s v="Basic"/>
    <n v="1"/>
    <n v="1"/>
    <n v="1"/>
    <n v="0"/>
    <n v="0"/>
    <n v="0"/>
    <n v="0"/>
    <n v="0"/>
    <n v="75.2"/>
  </r>
  <r>
    <x v="129"/>
    <d v="2025-01-02T00:00:00"/>
    <x v="0"/>
    <x v="0"/>
    <s v="Mobile"/>
    <s v="Paid Search"/>
    <s v="Free"/>
    <n v="1"/>
    <n v="0"/>
    <n v="0"/>
    <n v="0"/>
    <n v="0"/>
    <n v="1"/>
    <n v="0"/>
    <n v="0"/>
    <n v="79"/>
  </r>
  <r>
    <x v="130"/>
    <d v="2025-02-03T00:00:00"/>
    <x v="0"/>
    <x v="3"/>
    <s v="Mobile"/>
    <s v="Organic"/>
    <s v="Free"/>
    <n v="0"/>
    <n v="0"/>
    <n v="0"/>
    <n v="0"/>
    <n v="0"/>
    <n v="0"/>
    <n v="0"/>
    <n v="0"/>
    <n v="33"/>
  </r>
  <r>
    <x v="131"/>
    <d v="2025-03-04T00:00:00"/>
    <x v="0"/>
    <x v="2"/>
    <s v="Mobile"/>
    <s v="Organic"/>
    <s v="Free"/>
    <n v="1"/>
    <n v="0"/>
    <n v="0"/>
    <n v="0"/>
    <n v="0"/>
    <n v="0"/>
    <n v="0"/>
    <n v="0"/>
    <n v="67.900000000000006"/>
  </r>
  <r>
    <x v="132"/>
    <d v="2025-01-26T00:00:00"/>
    <x v="0"/>
    <x v="3"/>
    <s v="Mobile"/>
    <s v="Paid Search"/>
    <s v="Basic"/>
    <n v="0"/>
    <n v="0"/>
    <n v="0"/>
    <n v="0"/>
    <n v="0"/>
    <n v="0"/>
    <n v="0"/>
    <n v="0"/>
    <n v="42.2"/>
  </r>
  <r>
    <x v="133"/>
    <d v="2025-05-12T00:00:00"/>
    <x v="0"/>
    <x v="1"/>
    <s v="Mobile"/>
    <s v="Paid Search"/>
    <s v="Basic"/>
    <n v="1"/>
    <n v="1"/>
    <n v="1"/>
    <n v="0"/>
    <n v="0"/>
    <n v="0"/>
    <n v="0"/>
    <n v="0"/>
    <n v="43.4"/>
  </r>
  <r>
    <x v="134"/>
    <d v="2025-03-06T00:00:00"/>
    <x v="0"/>
    <x v="0"/>
    <s v="Mobile"/>
    <s v="Organic"/>
    <s v="Basic"/>
    <n v="0"/>
    <n v="0"/>
    <n v="0"/>
    <n v="0"/>
    <n v="0"/>
    <n v="0"/>
    <n v="0"/>
    <n v="0"/>
    <n v="54.4"/>
  </r>
  <r>
    <x v="135"/>
    <d v="2025-03-10T00:00:00"/>
    <x v="0"/>
    <x v="3"/>
    <s v="Desktop"/>
    <s v="Email"/>
    <s v="Premium"/>
    <n v="0"/>
    <n v="0"/>
    <n v="0"/>
    <n v="0"/>
    <n v="0"/>
    <n v="0"/>
    <n v="0"/>
    <n v="0"/>
    <n v="45.7"/>
  </r>
  <r>
    <x v="136"/>
    <d v="2025-05-06T00:00:00"/>
    <x v="0"/>
    <x v="0"/>
    <s v="Mobile"/>
    <s v="Paid Search"/>
    <s v="Free"/>
    <n v="0"/>
    <n v="0"/>
    <n v="0"/>
    <n v="0"/>
    <n v="0"/>
    <n v="3"/>
    <n v="0"/>
    <n v="0"/>
    <n v="32"/>
  </r>
  <r>
    <x v="137"/>
    <d v="2025-02-23T00:00:00"/>
    <x v="0"/>
    <x v="3"/>
    <s v="Desktop"/>
    <s v="Paid Search"/>
    <s v="Free"/>
    <n v="1"/>
    <n v="0"/>
    <n v="0"/>
    <n v="0"/>
    <n v="0"/>
    <n v="0"/>
    <n v="0"/>
    <n v="0"/>
    <n v="70.900000000000006"/>
  </r>
  <r>
    <x v="138"/>
    <d v="2025-01-29T00:00:00"/>
    <x v="0"/>
    <x v="1"/>
    <s v="Mobile"/>
    <s v="Social"/>
    <s v="Basic"/>
    <n v="1"/>
    <n v="1"/>
    <n v="1"/>
    <n v="0"/>
    <n v="0"/>
    <n v="0"/>
    <n v="0"/>
    <n v="0"/>
    <n v="59.1"/>
  </r>
  <r>
    <x v="139"/>
    <d v="2025-01-31T00:00:00"/>
    <x v="0"/>
    <x v="0"/>
    <s v="Mobile"/>
    <s v="Organic"/>
    <s v="Basic"/>
    <n v="0"/>
    <n v="0"/>
    <n v="0"/>
    <n v="0"/>
    <n v="0"/>
    <n v="0"/>
    <n v="0"/>
    <n v="0"/>
    <n v="62.4"/>
  </r>
  <r>
    <x v="140"/>
    <d v="2025-01-19T00:00:00"/>
    <x v="0"/>
    <x v="3"/>
    <s v="Mobile"/>
    <s v="Organic"/>
    <s v="Free"/>
    <n v="0"/>
    <n v="0"/>
    <n v="0"/>
    <n v="0"/>
    <n v="0"/>
    <n v="0"/>
    <n v="0"/>
    <n v="0"/>
    <n v="49.6"/>
  </r>
  <r>
    <x v="141"/>
    <d v="2025-04-03T00:00:00"/>
    <x v="0"/>
    <x v="1"/>
    <s v="Desktop"/>
    <s v="Social"/>
    <s v="Free"/>
    <n v="1"/>
    <n v="1"/>
    <n v="1"/>
    <n v="1"/>
    <n v="404.4"/>
    <n v="0"/>
    <n v="0"/>
    <n v="9"/>
    <n v="80.599999999999994"/>
  </r>
  <r>
    <x v="142"/>
    <d v="2025-04-07T00:00:00"/>
    <x v="0"/>
    <x v="0"/>
    <s v="Mobile"/>
    <s v="Paid Search"/>
    <s v="Free"/>
    <n v="1"/>
    <n v="0"/>
    <n v="0"/>
    <n v="0"/>
    <n v="0"/>
    <n v="0"/>
    <n v="0"/>
    <n v="0"/>
    <n v="47.9"/>
  </r>
  <r>
    <x v="143"/>
    <d v="2025-01-06T00:00:00"/>
    <x v="0"/>
    <x v="2"/>
    <s v="Mobile"/>
    <s v="Paid Search"/>
    <s v="Basic"/>
    <n v="1"/>
    <n v="1"/>
    <n v="0"/>
    <n v="0"/>
    <n v="0"/>
    <n v="0"/>
    <n v="0"/>
    <n v="0"/>
    <n v="54.8"/>
  </r>
  <r>
    <x v="144"/>
    <d v="2025-04-11T00:00:00"/>
    <x v="0"/>
    <x v="2"/>
    <s v="Mobile"/>
    <s v="Organic"/>
    <s v="Free"/>
    <n v="1"/>
    <n v="0"/>
    <n v="0"/>
    <n v="0"/>
    <n v="0"/>
    <n v="1"/>
    <n v="0"/>
    <n v="0"/>
    <n v="53.9"/>
  </r>
  <r>
    <x v="145"/>
    <d v="2025-04-23T00:00:00"/>
    <x v="0"/>
    <x v="2"/>
    <s v="Mobile"/>
    <s v="Paid Search"/>
    <s v="Free"/>
    <n v="1"/>
    <n v="0"/>
    <n v="0"/>
    <n v="0"/>
    <n v="0"/>
    <n v="0"/>
    <n v="0"/>
    <n v="0"/>
    <n v="41.3"/>
  </r>
  <r>
    <x v="146"/>
    <d v="2025-03-25T00:00:00"/>
    <x v="0"/>
    <x v="1"/>
    <s v="Mobile"/>
    <s v="Organic"/>
    <s v="Basic"/>
    <n v="1"/>
    <n v="1"/>
    <n v="0"/>
    <n v="0"/>
    <n v="0"/>
    <n v="0"/>
    <n v="0"/>
    <n v="0"/>
    <n v="38.9"/>
  </r>
  <r>
    <x v="147"/>
    <d v="2025-05-25T00:00:00"/>
    <x v="0"/>
    <x v="3"/>
    <s v="Desktop"/>
    <s v="Organic"/>
    <s v="Basic"/>
    <n v="1"/>
    <n v="0"/>
    <n v="0"/>
    <n v="0"/>
    <n v="0"/>
    <n v="0"/>
    <n v="0"/>
    <n v="0"/>
    <n v="63.6"/>
  </r>
  <r>
    <x v="148"/>
    <d v="2025-01-28T00:00:00"/>
    <x v="0"/>
    <x v="0"/>
    <s v="Mobile"/>
    <s v="Organic"/>
    <s v="Free"/>
    <n v="1"/>
    <n v="1"/>
    <n v="1"/>
    <n v="1"/>
    <n v="577.94000000000005"/>
    <n v="0"/>
    <n v="0"/>
    <n v="9"/>
    <n v="76.599999999999994"/>
  </r>
  <r>
    <x v="149"/>
    <d v="2025-02-12T00:00:00"/>
    <x v="0"/>
    <x v="1"/>
    <s v="Mobile"/>
    <s v="Paid Search"/>
    <s v="Premium"/>
    <n v="0"/>
    <n v="0"/>
    <n v="0"/>
    <n v="0"/>
    <n v="0"/>
    <n v="1"/>
    <n v="0"/>
    <n v="0"/>
    <n v="67.599999999999994"/>
  </r>
  <r>
    <x v="150"/>
    <d v="2025-04-29T00:00:00"/>
    <x v="0"/>
    <x v="0"/>
    <s v="Mobile"/>
    <s v="Social"/>
    <s v="Premium"/>
    <n v="1"/>
    <n v="0"/>
    <n v="0"/>
    <n v="0"/>
    <n v="0"/>
    <n v="0"/>
    <n v="0"/>
    <n v="0"/>
    <n v="43.1"/>
  </r>
  <r>
    <x v="151"/>
    <d v="2025-03-13T00:00:00"/>
    <x v="0"/>
    <x v="3"/>
    <s v="Mobile"/>
    <s v="Email"/>
    <s v="Free"/>
    <n v="1"/>
    <n v="0"/>
    <n v="0"/>
    <n v="0"/>
    <n v="0"/>
    <n v="0"/>
    <n v="0"/>
    <n v="0"/>
    <n v="58.3"/>
  </r>
  <r>
    <x v="152"/>
    <d v="2025-02-04T00:00:00"/>
    <x v="0"/>
    <x v="2"/>
    <s v="Desktop"/>
    <s v="Paid Search"/>
    <s v="Free"/>
    <n v="1"/>
    <n v="0"/>
    <n v="0"/>
    <n v="0"/>
    <n v="0"/>
    <n v="0"/>
    <n v="0"/>
    <n v="0"/>
    <n v="69.8"/>
  </r>
  <r>
    <x v="153"/>
    <d v="2025-03-04T00:00:00"/>
    <x v="0"/>
    <x v="3"/>
    <s v="Mobile"/>
    <s v="Referral"/>
    <s v="Free"/>
    <n v="1"/>
    <n v="1"/>
    <n v="0"/>
    <n v="0"/>
    <n v="0"/>
    <n v="0"/>
    <n v="0"/>
    <n v="0"/>
    <n v="0"/>
  </r>
  <r>
    <x v="154"/>
    <d v="2025-02-04T00:00:00"/>
    <x v="0"/>
    <x v="1"/>
    <s v="Mobile"/>
    <s v="Paid Search"/>
    <s v="Basic"/>
    <n v="1"/>
    <n v="1"/>
    <n v="0"/>
    <n v="0"/>
    <n v="0"/>
    <n v="0"/>
    <n v="0"/>
    <n v="0"/>
    <n v="41.9"/>
  </r>
  <r>
    <x v="155"/>
    <d v="2025-03-11T00:00:00"/>
    <x v="0"/>
    <x v="0"/>
    <s v="Desktop"/>
    <s v="Organic"/>
    <s v="Free"/>
    <n v="0"/>
    <n v="0"/>
    <n v="0"/>
    <n v="0"/>
    <n v="0"/>
    <n v="0"/>
    <n v="0"/>
    <n v="0"/>
    <n v="33.1"/>
  </r>
  <r>
    <x v="156"/>
    <d v="2025-04-22T00:00:00"/>
    <x v="0"/>
    <x v="1"/>
    <s v="Mobile"/>
    <s v="Organic"/>
    <s v="Free"/>
    <n v="0"/>
    <n v="0"/>
    <n v="0"/>
    <n v="0"/>
    <n v="0"/>
    <n v="0"/>
    <n v="0"/>
    <n v="0"/>
    <n v="58.6"/>
  </r>
  <r>
    <x v="157"/>
    <d v="2025-03-08T00:00:00"/>
    <x v="0"/>
    <x v="0"/>
    <s v="Desktop"/>
    <s v="Paid Search"/>
    <s v="Free"/>
    <n v="0"/>
    <n v="0"/>
    <n v="0"/>
    <n v="0"/>
    <n v="0"/>
    <n v="0"/>
    <n v="0"/>
    <n v="0"/>
    <n v="55.7"/>
  </r>
  <r>
    <x v="158"/>
    <d v="2025-03-10T00:00:00"/>
    <x v="0"/>
    <x v="2"/>
    <s v="Mobile"/>
    <s v="Organic"/>
    <s v="Free"/>
    <n v="0"/>
    <n v="0"/>
    <n v="0"/>
    <n v="0"/>
    <n v="0"/>
    <n v="2"/>
    <n v="0"/>
    <n v="0"/>
    <n v="64.900000000000006"/>
  </r>
  <r>
    <x v="159"/>
    <d v="2025-05-18T00:00:00"/>
    <x v="0"/>
    <x v="0"/>
    <s v="Desktop"/>
    <s v="Paid Search"/>
    <s v="Basic"/>
    <n v="0"/>
    <n v="0"/>
    <n v="0"/>
    <n v="0"/>
    <n v="0"/>
    <n v="0"/>
    <n v="0"/>
    <n v="0"/>
    <n v="72.3"/>
  </r>
  <r>
    <x v="160"/>
    <d v="2025-05-14T00:00:00"/>
    <x v="0"/>
    <x v="0"/>
    <s v="Mobile"/>
    <s v="Social"/>
    <s v="Basic"/>
    <n v="0"/>
    <n v="0"/>
    <n v="0"/>
    <n v="0"/>
    <n v="0"/>
    <n v="0"/>
    <n v="0"/>
    <n v="0"/>
    <n v="42.1"/>
  </r>
  <r>
    <x v="161"/>
    <d v="2025-02-01T00:00:00"/>
    <x v="0"/>
    <x v="0"/>
    <s v="Mobile"/>
    <s v="Organic"/>
    <s v="Free"/>
    <n v="0"/>
    <n v="0"/>
    <n v="0"/>
    <n v="0"/>
    <n v="0"/>
    <n v="0"/>
    <n v="0"/>
    <n v="0"/>
    <n v="0"/>
  </r>
  <r>
    <x v="162"/>
    <d v="2025-04-11T00:00:00"/>
    <x v="0"/>
    <x v="3"/>
    <s v="Mobile"/>
    <s v="Organic"/>
    <s v="Basic"/>
    <n v="0"/>
    <n v="0"/>
    <n v="0"/>
    <n v="0"/>
    <n v="0"/>
    <n v="1"/>
    <n v="0"/>
    <n v="0"/>
    <n v="64.8"/>
  </r>
  <r>
    <x v="163"/>
    <d v="2025-02-14T00:00:00"/>
    <x v="0"/>
    <x v="2"/>
    <s v="Mobile"/>
    <s v="Organic"/>
    <s v="Free"/>
    <n v="0"/>
    <n v="0"/>
    <n v="0"/>
    <n v="0"/>
    <n v="0"/>
    <n v="0"/>
    <n v="0"/>
    <n v="0"/>
    <n v="72.099999999999994"/>
  </r>
  <r>
    <x v="164"/>
    <d v="2025-05-19T00:00:00"/>
    <x v="0"/>
    <x v="2"/>
    <s v="Mobile"/>
    <s v="Social"/>
    <s v="Free"/>
    <n v="1"/>
    <n v="0"/>
    <n v="0"/>
    <n v="0"/>
    <n v="0"/>
    <n v="0"/>
    <n v="0"/>
    <n v="0"/>
    <n v="50.6"/>
  </r>
  <r>
    <x v="165"/>
    <d v="2025-04-26T00:00:00"/>
    <x v="0"/>
    <x v="0"/>
    <s v="Desktop"/>
    <s v="Paid Search"/>
    <s v="Basic"/>
    <n v="1"/>
    <n v="1"/>
    <n v="1"/>
    <n v="1"/>
    <n v="1281.25"/>
    <n v="1"/>
    <n v="0"/>
    <n v="9"/>
    <n v="43.4"/>
  </r>
  <r>
    <x v="166"/>
    <d v="2025-04-06T00:00:00"/>
    <x v="0"/>
    <x v="3"/>
    <s v="Mobile"/>
    <s v="Social"/>
    <s v="Free"/>
    <n v="1"/>
    <n v="0"/>
    <n v="0"/>
    <n v="0"/>
    <n v="0"/>
    <n v="0"/>
    <n v="0"/>
    <n v="0"/>
    <n v="59.7"/>
  </r>
  <r>
    <x v="167"/>
    <d v="2025-03-06T00:00:00"/>
    <x v="0"/>
    <x v="3"/>
    <s v="Mobile"/>
    <s v="Paid Search"/>
    <s v="Free"/>
    <n v="1"/>
    <n v="0"/>
    <n v="0"/>
    <n v="0"/>
    <n v="0"/>
    <n v="1"/>
    <n v="0"/>
    <n v="0"/>
    <n v="0"/>
  </r>
  <r>
    <x v="168"/>
    <d v="2025-03-10T00:00:00"/>
    <x v="0"/>
    <x v="1"/>
    <s v="Mobile"/>
    <s v="Social"/>
    <s v="Basic"/>
    <n v="0"/>
    <n v="0"/>
    <n v="0"/>
    <n v="0"/>
    <n v="0"/>
    <n v="0"/>
    <n v="0"/>
    <n v="0"/>
    <n v="54.5"/>
  </r>
  <r>
    <x v="169"/>
    <d v="2025-03-30T00:00:00"/>
    <x v="0"/>
    <x v="0"/>
    <s v="Mobile"/>
    <s v="Organic"/>
    <s v="Free"/>
    <n v="1"/>
    <n v="0"/>
    <n v="0"/>
    <n v="0"/>
    <n v="0"/>
    <n v="0"/>
    <n v="0"/>
    <n v="0"/>
    <n v="71.099999999999994"/>
  </r>
  <r>
    <x v="170"/>
    <d v="2025-05-29T00:00:00"/>
    <x v="0"/>
    <x v="2"/>
    <s v="Unknown"/>
    <s v="Paid Search"/>
    <s v="Free"/>
    <n v="1"/>
    <n v="1"/>
    <n v="1"/>
    <n v="0"/>
    <n v="0"/>
    <n v="0"/>
    <n v="0"/>
    <n v="0"/>
    <n v="44.4"/>
  </r>
  <r>
    <x v="171"/>
    <d v="2025-03-23T00:00:00"/>
    <x v="0"/>
    <x v="0"/>
    <s v="Mobile"/>
    <s v="Organic"/>
    <s v="Free"/>
    <n v="1"/>
    <n v="0"/>
    <n v="0"/>
    <n v="0"/>
    <n v="0"/>
    <n v="0"/>
    <n v="0"/>
    <n v="0"/>
    <n v="61.7"/>
  </r>
  <r>
    <x v="172"/>
    <d v="2025-02-18T00:00:00"/>
    <x v="0"/>
    <x v="0"/>
    <s v="Tablet"/>
    <s v="Organic"/>
    <s v="Basic"/>
    <n v="0"/>
    <n v="0"/>
    <n v="0"/>
    <n v="0"/>
    <n v="0"/>
    <n v="1"/>
    <n v="0"/>
    <n v="0"/>
    <n v="81.3"/>
  </r>
  <r>
    <x v="173"/>
    <d v="2025-01-26T00:00:00"/>
    <x v="0"/>
    <x v="0"/>
    <s v="Desktop"/>
    <s v="Email"/>
    <s v="Free"/>
    <n v="1"/>
    <n v="0"/>
    <n v="0"/>
    <n v="0"/>
    <n v="0"/>
    <n v="2"/>
    <n v="0"/>
    <n v="0"/>
    <n v="28.7"/>
  </r>
  <r>
    <x v="174"/>
    <d v="2025-04-23T00:00:00"/>
    <x v="0"/>
    <x v="2"/>
    <s v="Mobile"/>
    <s v="Social"/>
    <s v="Basic"/>
    <n v="0"/>
    <n v="0"/>
    <n v="0"/>
    <n v="0"/>
    <n v="0"/>
    <n v="0"/>
    <n v="0"/>
    <n v="0"/>
    <n v="53"/>
  </r>
  <r>
    <x v="175"/>
    <d v="2025-03-16T00:00:00"/>
    <x v="0"/>
    <x v="3"/>
    <s v="Tablet"/>
    <s v="Referral"/>
    <s v="Basic"/>
    <n v="1"/>
    <n v="0"/>
    <n v="0"/>
    <n v="0"/>
    <n v="0"/>
    <n v="0"/>
    <n v="0"/>
    <n v="0"/>
    <n v="54.9"/>
  </r>
  <r>
    <x v="176"/>
    <d v="2025-04-29T00:00:00"/>
    <x v="0"/>
    <x v="1"/>
    <s v="Mobile"/>
    <s v="Organic"/>
    <s v="Basic"/>
    <n v="1"/>
    <n v="0"/>
    <n v="0"/>
    <n v="0"/>
    <n v="0"/>
    <n v="0"/>
    <n v="0"/>
    <n v="0"/>
    <n v="58.2"/>
  </r>
  <r>
    <x v="177"/>
    <d v="2025-04-06T00:00:00"/>
    <x v="0"/>
    <x v="0"/>
    <s v="Mobile"/>
    <s v="Organic"/>
    <s v="Free"/>
    <n v="0"/>
    <n v="0"/>
    <n v="0"/>
    <n v="0"/>
    <n v="0"/>
    <n v="0"/>
    <n v="0"/>
    <n v="0"/>
    <n v="80.599999999999994"/>
  </r>
  <r>
    <x v="178"/>
    <d v="2025-04-17T00:00:00"/>
    <x v="0"/>
    <x v="0"/>
    <s v="Desktop"/>
    <s v="Referral"/>
    <s v="Premium"/>
    <n v="1"/>
    <n v="1"/>
    <n v="1"/>
    <n v="0"/>
    <n v="0"/>
    <n v="0"/>
    <n v="0"/>
    <n v="0"/>
    <n v="38.4"/>
  </r>
  <r>
    <x v="179"/>
    <d v="2025-04-03T00:00:00"/>
    <x v="0"/>
    <x v="3"/>
    <s v="Mobile"/>
    <s v="Paid Search"/>
    <s v="Free"/>
    <n v="1"/>
    <n v="0"/>
    <n v="0"/>
    <n v="0"/>
    <n v="0"/>
    <n v="0"/>
    <n v="0"/>
    <n v="0"/>
    <n v="56.1"/>
  </r>
  <r>
    <x v="180"/>
    <d v="2025-04-25T00:00:00"/>
    <x v="0"/>
    <x v="1"/>
    <s v="Mobile"/>
    <s v="Paid Search"/>
    <s v="Free"/>
    <n v="0"/>
    <n v="0"/>
    <n v="0"/>
    <n v="0"/>
    <n v="0"/>
    <n v="0"/>
    <n v="0"/>
    <n v="0"/>
    <n v="62.6"/>
  </r>
  <r>
    <x v="181"/>
    <d v="2025-04-30T00:00:00"/>
    <x v="0"/>
    <x v="3"/>
    <s v="Mobile"/>
    <s v="Organic"/>
    <s v="Premium"/>
    <n v="0"/>
    <n v="0"/>
    <n v="0"/>
    <n v="0"/>
    <n v="0"/>
    <n v="0"/>
    <n v="0"/>
    <n v="0"/>
    <n v="36.299999999999997"/>
  </r>
  <r>
    <x v="182"/>
    <d v="2025-03-12T00:00:00"/>
    <x v="0"/>
    <x v="3"/>
    <s v="Mobile"/>
    <s v="Paid Search"/>
    <s v="Free"/>
    <n v="1"/>
    <n v="0"/>
    <n v="0"/>
    <n v="0"/>
    <n v="0"/>
    <n v="0"/>
    <n v="0"/>
    <n v="0"/>
    <n v="52.1"/>
  </r>
  <r>
    <x v="183"/>
    <d v="2025-05-04T00:00:00"/>
    <x v="0"/>
    <x v="3"/>
    <s v="Mobile"/>
    <s v="Organic"/>
    <s v="Free"/>
    <n v="1"/>
    <n v="0"/>
    <n v="0"/>
    <n v="0"/>
    <n v="0"/>
    <n v="0"/>
    <n v="0"/>
    <n v="0"/>
    <n v="45.1"/>
  </r>
  <r>
    <x v="184"/>
    <d v="2025-02-07T00:00:00"/>
    <x v="0"/>
    <x v="3"/>
    <s v="Tablet"/>
    <s v="Paid Search"/>
    <s v="Premium"/>
    <n v="0"/>
    <n v="0"/>
    <n v="0"/>
    <n v="0"/>
    <n v="0"/>
    <n v="0"/>
    <n v="0"/>
    <n v="0"/>
    <n v="67.5"/>
  </r>
  <r>
    <x v="185"/>
    <d v="2025-04-28T00:00:00"/>
    <x v="0"/>
    <x v="2"/>
    <s v="Tablet"/>
    <s v="Email"/>
    <s v="Basic"/>
    <n v="1"/>
    <n v="1"/>
    <n v="1"/>
    <n v="0"/>
    <n v="0"/>
    <n v="0"/>
    <n v="0"/>
    <n v="0"/>
    <n v="80"/>
  </r>
  <r>
    <x v="186"/>
    <d v="2025-05-15T00:00:00"/>
    <x v="0"/>
    <x v="2"/>
    <s v="Desktop"/>
    <s v="Referral"/>
    <s v="Free"/>
    <n v="0"/>
    <n v="0"/>
    <n v="0"/>
    <n v="0"/>
    <n v="0"/>
    <n v="0"/>
    <n v="0"/>
    <n v="0"/>
    <n v="56.4"/>
  </r>
  <r>
    <x v="187"/>
    <d v="2025-01-18T00:00:00"/>
    <x v="0"/>
    <x v="1"/>
    <s v="Mobile"/>
    <s v="Paid Search"/>
    <s v="Basic"/>
    <n v="0"/>
    <n v="0"/>
    <n v="0"/>
    <n v="0"/>
    <n v="0"/>
    <n v="0"/>
    <n v="0"/>
    <n v="0"/>
    <n v="55.4"/>
  </r>
  <r>
    <x v="188"/>
    <d v="2025-02-15T00:00:00"/>
    <x v="0"/>
    <x v="3"/>
    <s v="Mobile"/>
    <s v="Social"/>
    <s v="Basic"/>
    <n v="1"/>
    <n v="0"/>
    <n v="0"/>
    <n v="0"/>
    <n v="0"/>
    <n v="0"/>
    <n v="0"/>
    <n v="0"/>
    <n v="67.900000000000006"/>
  </r>
  <r>
    <x v="189"/>
    <d v="2025-02-18T00:00:00"/>
    <x v="0"/>
    <x v="0"/>
    <s v="Tablet"/>
    <s v="Email"/>
    <s v="Free"/>
    <n v="1"/>
    <n v="0"/>
    <n v="0"/>
    <n v="0"/>
    <n v="0"/>
    <n v="0"/>
    <n v="0"/>
    <n v="0"/>
    <n v="62.5"/>
  </r>
  <r>
    <x v="190"/>
    <d v="2025-01-30T00:00:00"/>
    <x v="0"/>
    <x v="3"/>
    <s v="Desktop"/>
    <s v="Email"/>
    <s v="Basic"/>
    <n v="1"/>
    <n v="1"/>
    <n v="1"/>
    <n v="0"/>
    <n v="0"/>
    <n v="0"/>
    <n v="0"/>
    <n v="0"/>
    <n v="54.3"/>
  </r>
  <r>
    <x v="191"/>
    <d v="2025-02-09T00:00:00"/>
    <x v="0"/>
    <x v="3"/>
    <s v="Desktop"/>
    <s v="Organic"/>
    <s v="Basic"/>
    <n v="1"/>
    <n v="0"/>
    <n v="0"/>
    <n v="0"/>
    <n v="0"/>
    <n v="0"/>
    <n v="0"/>
    <n v="0"/>
    <n v="37.5"/>
  </r>
  <r>
    <x v="192"/>
    <d v="2025-03-16T00:00:00"/>
    <x v="0"/>
    <x v="1"/>
    <s v="Mobile"/>
    <s v="Paid Search"/>
    <s v="Basic"/>
    <n v="1"/>
    <n v="0"/>
    <n v="0"/>
    <n v="0"/>
    <n v="0"/>
    <n v="0"/>
    <n v="0"/>
    <n v="0"/>
    <n v="52.6"/>
  </r>
  <r>
    <x v="193"/>
    <d v="2025-05-19T00:00:00"/>
    <x v="0"/>
    <x v="0"/>
    <s v="Mobile"/>
    <s v="Paid Search"/>
    <s v="Free"/>
    <n v="1"/>
    <n v="0"/>
    <n v="0"/>
    <n v="0"/>
    <n v="0"/>
    <n v="0"/>
    <n v="0"/>
    <n v="0"/>
    <n v="46.1"/>
  </r>
  <r>
    <x v="194"/>
    <d v="2025-05-16T00:00:00"/>
    <x v="0"/>
    <x v="3"/>
    <s v="Desktop"/>
    <s v="Organic"/>
    <s v="Basic"/>
    <n v="1"/>
    <n v="0"/>
    <n v="0"/>
    <n v="0"/>
    <n v="0"/>
    <n v="0"/>
    <n v="0"/>
    <n v="0"/>
    <n v="54.7"/>
  </r>
  <r>
    <x v="195"/>
    <d v="2025-04-25T00:00:00"/>
    <x v="0"/>
    <x v="1"/>
    <s v="Desktop"/>
    <s v="Referral"/>
    <s v="Basic"/>
    <n v="0"/>
    <n v="0"/>
    <n v="0"/>
    <n v="0"/>
    <n v="0"/>
    <n v="0"/>
    <n v="0"/>
    <n v="0"/>
    <n v="74.2"/>
  </r>
  <r>
    <x v="196"/>
    <d v="2025-02-27T00:00:00"/>
    <x v="0"/>
    <x v="0"/>
    <s v="Mobile"/>
    <s v="Social"/>
    <s v="Basic"/>
    <n v="1"/>
    <n v="1"/>
    <n v="1"/>
    <n v="1"/>
    <n v="1052.8"/>
    <n v="2"/>
    <n v="0"/>
    <n v="6"/>
    <n v="64.7"/>
  </r>
  <r>
    <x v="197"/>
    <d v="2025-04-26T00:00:00"/>
    <x v="0"/>
    <x v="3"/>
    <s v="Mobile"/>
    <s v="Paid Search"/>
    <s v="Basic"/>
    <n v="0"/>
    <n v="0"/>
    <n v="0"/>
    <n v="0"/>
    <n v="0"/>
    <n v="0"/>
    <n v="0"/>
    <n v="0"/>
    <n v="65.900000000000006"/>
  </r>
  <r>
    <x v="198"/>
    <d v="2025-05-14T00:00:00"/>
    <x v="0"/>
    <x v="0"/>
    <s v="Mobile"/>
    <s v="Organic"/>
    <s v="Basic"/>
    <n v="1"/>
    <n v="0"/>
    <n v="0"/>
    <n v="0"/>
    <n v="0"/>
    <n v="0"/>
    <n v="0"/>
    <n v="0"/>
    <n v="64"/>
  </r>
  <r>
    <x v="199"/>
    <d v="2025-03-05T00:00:00"/>
    <x v="0"/>
    <x v="0"/>
    <s v="Mobile"/>
    <s v="Organic"/>
    <s v="Premium"/>
    <n v="1"/>
    <n v="0"/>
    <n v="0"/>
    <n v="0"/>
    <n v="0"/>
    <n v="0"/>
    <n v="0"/>
    <n v="0"/>
    <n v="57.2"/>
  </r>
  <r>
    <x v="200"/>
    <d v="2025-04-02T00:00:00"/>
    <x v="0"/>
    <x v="1"/>
    <s v="Desktop"/>
    <s v="Organic"/>
    <s v="Free"/>
    <n v="1"/>
    <n v="0"/>
    <n v="0"/>
    <n v="0"/>
    <n v="0"/>
    <n v="0"/>
    <n v="0"/>
    <n v="0"/>
    <n v="80.5"/>
  </r>
  <r>
    <x v="201"/>
    <d v="2025-05-14T00:00:00"/>
    <x v="0"/>
    <x v="3"/>
    <s v="Tablet"/>
    <s v="Organic"/>
    <s v="Free"/>
    <n v="0"/>
    <n v="0"/>
    <n v="0"/>
    <n v="0"/>
    <n v="0"/>
    <n v="0"/>
    <n v="0"/>
    <n v="0"/>
    <n v="53.9"/>
  </r>
  <r>
    <x v="202"/>
    <d v="2025-05-21T00:00:00"/>
    <x v="0"/>
    <x v="0"/>
    <s v="Mobile"/>
    <s v="Paid Search"/>
    <s v="Free"/>
    <n v="1"/>
    <n v="1"/>
    <n v="0"/>
    <n v="0"/>
    <n v="0"/>
    <n v="0"/>
    <n v="0"/>
    <n v="0"/>
    <n v="77.5"/>
  </r>
  <r>
    <x v="203"/>
    <d v="2025-01-27T00:00:00"/>
    <x v="0"/>
    <x v="2"/>
    <s v="Mobile"/>
    <s v="Social"/>
    <s v="Basic"/>
    <n v="0"/>
    <n v="0"/>
    <n v="0"/>
    <n v="0"/>
    <n v="0"/>
    <n v="0"/>
    <n v="0"/>
    <n v="0"/>
    <n v="84.2"/>
  </r>
  <r>
    <x v="204"/>
    <d v="2025-05-22T00:00:00"/>
    <x v="0"/>
    <x v="1"/>
    <s v="Desktop"/>
    <s v="Organic"/>
    <s v="Free"/>
    <n v="1"/>
    <n v="1"/>
    <n v="0"/>
    <n v="0"/>
    <n v="0"/>
    <n v="0"/>
    <n v="0"/>
    <n v="0"/>
    <n v="54.9"/>
  </r>
  <r>
    <x v="205"/>
    <d v="2025-05-19T00:00:00"/>
    <x v="0"/>
    <x v="3"/>
    <s v="Mobile"/>
    <s v="Paid Search"/>
    <s v="Free"/>
    <n v="0"/>
    <n v="0"/>
    <n v="0"/>
    <n v="0"/>
    <n v="0"/>
    <n v="0"/>
    <n v="0"/>
    <n v="0"/>
    <n v="69.3"/>
  </r>
  <r>
    <x v="206"/>
    <d v="2025-01-14T00:00:00"/>
    <x v="0"/>
    <x v="3"/>
    <s v="Desktop"/>
    <s v="Paid Search"/>
    <s v="Free"/>
    <n v="1"/>
    <n v="0"/>
    <n v="0"/>
    <n v="0"/>
    <n v="0"/>
    <n v="2"/>
    <n v="0"/>
    <n v="0"/>
    <n v="42.3"/>
  </r>
  <r>
    <x v="207"/>
    <d v="2025-01-21T00:00:00"/>
    <x v="0"/>
    <x v="0"/>
    <s v="Desktop"/>
    <s v="Referral"/>
    <s v="Premium"/>
    <n v="1"/>
    <n v="0"/>
    <n v="0"/>
    <n v="0"/>
    <n v="0"/>
    <n v="1"/>
    <n v="0"/>
    <n v="0"/>
    <n v="69.599999999999994"/>
  </r>
  <r>
    <x v="208"/>
    <d v="2025-05-16T00:00:00"/>
    <x v="0"/>
    <x v="2"/>
    <s v="Mobile"/>
    <s v="Organic"/>
    <s v="Free"/>
    <n v="0"/>
    <n v="0"/>
    <n v="0"/>
    <n v="0"/>
    <n v="0"/>
    <n v="0"/>
    <n v="0"/>
    <n v="0"/>
    <n v="40.700000000000003"/>
  </r>
  <r>
    <x v="209"/>
    <d v="2025-02-02T00:00:00"/>
    <x v="0"/>
    <x v="0"/>
    <s v="Mobile"/>
    <s v="Email"/>
    <s v="Free"/>
    <n v="1"/>
    <n v="0"/>
    <n v="0"/>
    <n v="0"/>
    <n v="0"/>
    <n v="0"/>
    <n v="0"/>
    <n v="0"/>
    <n v="54"/>
  </r>
  <r>
    <x v="210"/>
    <d v="2025-03-23T00:00:00"/>
    <x v="0"/>
    <x v="2"/>
    <s v="Unknown"/>
    <s v="Referral"/>
    <s v="Free"/>
    <n v="1"/>
    <n v="1"/>
    <n v="1"/>
    <n v="1"/>
    <n v="553.37"/>
    <n v="0"/>
    <n v="0"/>
    <n v="5"/>
    <n v="46.3"/>
  </r>
  <r>
    <x v="211"/>
    <d v="2025-01-24T00:00:00"/>
    <x v="0"/>
    <x v="2"/>
    <s v="Mobile"/>
    <s v="Organic"/>
    <s v="Free"/>
    <n v="1"/>
    <n v="0"/>
    <n v="0"/>
    <n v="0"/>
    <n v="0"/>
    <n v="0"/>
    <n v="0"/>
    <n v="0"/>
    <n v="64.2"/>
  </r>
  <r>
    <x v="212"/>
    <d v="2025-04-12T00:00:00"/>
    <x v="0"/>
    <x v="0"/>
    <s v="Desktop"/>
    <s v="Organic"/>
    <s v="Free"/>
    <n v="1"/>
    <n v="0"/>
    <n v="0"/>
    <n v="0"/>
    <n v="0"/>
    <n v="0"/>
    <n v="0"/>
    <n v="0"/>
    <n v="75.2"/>
  </r>
  <r>
    <x v="213"/>
    <d v="2025-02-18T00:00:00"/>
    <x v="0"/>
    <x v="2"/>
    <s v="Desktop"/>
    <s v="Paid Search"/>
    <s v="Free"/>
    <n v="1"/>
    <n v="1"/>
    <n v="0"/>
    <n v="0"/>
    <n v="0"/>
    <n v="0"/>
    <n v="0"/>
    <n v="0"/>
    <n v="60.9"/>
  </r>
  <r>
    <x v="214"/>
    <d v="2025-05-28T00:00:00"/>
    <x v="0"/>
    <x v="3"/>
    <s v="Mobile"/>
    <s v="Email"/>
    <s v="Basic"/>
    <n v="1"/>
    <n v="1"/>
    <n v="1"/>
    <n v="0"/>
    <n v="0"/>
    <n v="0"/>
    <n v="0"/>
    <n v="0"/>
    <n v="62.1"/>
  </r>
  <r>
    <x v="215"/>
    <d v="2025-04-18T00:00:00"/>
    <x v="0"/>
    <x v="3"/>
    <s v="Mobile"/>
    <s v="Social"/>
    <s v="Basic"/>
    <n v="0"/>
    <n v="0"/>
    <n v="0"/>
    <n v="0"/>
    <n v="0"/>
    <n v="0"/>
    <n v="0"/>
    <n v="0"/>
    <n v="45.4"/>
  </r>
  <r>
    <x v="216"/>
    <d v="2025-03-27T00:00:00"/>
    <x v="0"/>
    <x v="0"/>
    <s v="Mobile"/>
    <s v="Paid Search"/>
    <s v="Basic"/>
    <n v="1"/>
    <n v="0"/>
    <n v="0"/>
    <n v="0"/>
    <n v="0"/>
    <n v="0"/>
    <n v="0"/>
    <n v="0"/>
    <n v="53.3"/>
  </r>
  <r>
    <x v="217"/>
    <d v="2025-02-25T00:00:00"/>
    <x v="0"/>
    <x v="0"/>
    <s v="Tablet"/>
    <s v="Social"/>
    <s v="Free"/>
    <n v="1"/>
    <n v="0"/>
    <n v="0"/>
    <n v="0"/>
    <n v="0"/>
    <n v="0"/>
    <n v="0"/>
    <n v="0"/>
    <n v="0"/>
  </r>
  <r>
    <x v="218"/>
    <d v="2025-02-19T00:00:00"/>
    <x v="0"/>
    <x v="2"/>
    <s v="Mobile"/>
    <s v="Paid Search"/>
    <s v="Free"/>
    <n v="0"/>
    <n v="0"/>
    <n v="0"/>
    <n v="0"/>
    <n v="0"/>
    <n v="1"/>
    <n v="0"/>
    <n v="0"/>
    <n v="38.200000000000003"/>
  </r>
  <r>
    <x v="219"/>
    <d v="2025-04-11T00:00:00"/>
    <x v="0"/>
    <x v="1"/>
    <s v="Mobile"/>
    <s v="Paid Search"/>
    <s v="Free"/>
    <n v="1"/>
    <n v="1"/>
    <n v="0"/>
    <n v="0"/>
    <n v="0"/>
    <n v="3"/>
    <n v="0"/>
    <n v="0"/>
    <n v="59"/>
  </r>
  <r>
    <x v="220"/>
    <d v="2025-01-22T00:00:00"/>
    <x v="0"/>
    <x v="2"/>
    <s v="Tablet"/>
    <s v="Referral"/>
    <s v="Premium"/>
    <n v="1"/>
    <n v="1"/>
    <n v="1"/>
    <n v="0"/>
    <n v="0"/>
    <n v="0"/>
    <n v="0"/>
    <n v="0"/>
    <n v="80.599999999999994"/>
  </r>
  <r>
    <x v="221"/>
    <d v="2025-01-12T00:00:00"/>
    <x v="0"/>
    <x v="3"/>
    <s v="Mobile"/>
    <s v="Social"/>
    <s v="Free"/>
    <n v="1"/>
    <n v="0"/>
    <n v="0"/>
    <n v="0"/>
    <n v="0"/>
    <n v="0"/>
    <n v="0"/>
    <n v="0"/>
    <n v="67"/>
  </r>
  <r>
    <x v="222"/>
    <d v="2025-02-17T00:00:00"/>
    <x v="0"/>
    <x v="1"/>
    <s v="Mobile"/>
    <s v="Email"/>
    <s v="Free"/>
    <n v="1"/>
    <n v="0"/>
    <n v="0"/>
    <n v="0"/>
    <n v="0"/>
    <n v="1"/>
    <n v="0"/>
    <n v="0"/>
    <n v="72.099999999999994"/>
  </r>
  <r>
    <x v="223"/>
    <d v="2025-04-11T00:00:00"/>
    <x v="0"/>
    <x v="1"/>
    <s v="Desktop"/>
    <s v="Organic"/>
    <s v="Free"/>
    <n v="0"/>
    <n v="0"/>
    <n v="0"/>
    <n v="0"/>
    <n v="0"/>
    <n v="0"/>
    <n v="0"/>
    <n v="0"/>
    <n v="74.099999999999994"/>
  </r>
  <r>
    <x v="224"/>
    <d v="2025-05-25T00:00:00"/>
    <x v="0"/>
    <x v="3"/>
    <s v="Mobile"/>
    <s v="Referral"/>
    <s v="Premium"/>
    <n v="0"/>
    <n v="0"/>
    <n v="0"/>
    <n v="0"/>
    <n v="0"/>
    <n v="0"/>
    <n v="0"/>
    <n v="0"/>
    <n v="84.8"/>
  </r>
  <r>
    <x v="225"/>
    <d v="2025-03-12T00:00:00"/>
    <x v="0"/>
    <x v="3"/>
    <s v="Mobile"/>
    <s v="Organic"/>
    <s v="Basic"/>
    <n v="1"/>
    <n v="0"/>
    <n v="0"/>
    <n v="0"/>
    <n v="0"/>
    <n v="0"/>
    <n v="0"/>
    <n v="0"/>
    <n v="33"/>
  </r>
  <r>
    <x v="226"/>
    <d v="2025-04-20T00:00:00"/>
    <x v="0"/>
    <x v="0"/>
    <s v="Tablet"/>
    <s v="Email"/>
    <s v="Free"/>
    <n v="0"/>
    <n v="0"/>
    <n v="0"/>
    <n v="0"/>
    <n v="0"/>
    <n v="0"/>
    <n v="0"/>
    <n v="0"/>
    <n v="52.5"/>
  </r>
  <r>
    <x v="227"/>
    <d v="2025-02-23T00:00:00"/>
    <x v="0"/>
    <x v="0"/>
    <s v="Tablet"/>
    <s v="Organic"/>
    <s v="Free"/>
    <n v="0"/>
    <n v="0"/>
    <n v="0"/>
    <n v="0"/>
    <n v="0"/>
    <n v="0"/>
    <n v="0"/>
    <n v="0"/>
    <n v="66.900000000000006"/>
  </r>
  <r>
    <x v="228"/>
    <d v="2025-01-24T00:00:00"/>
    <x v="0"/>
    <x v="0"/>
    <s v="Mobile"/>
    <s v="Organic"/>
    <s v="Basic"/>
    <n v="1"/>
    <n v="1"/>
    <n v="1"/>
    <n v="0"/>
    <n v="0"/>
    <n v="1"/>
    <n v="0"/>
    <n v="0"/>
    <n v="32.700000000000003"/>
  </r>
  <r>
    <x v="229"/>
    <d v="2025-01-16T00:00:00"/>
    <x v="0"/>
    <x v="1"/>
    <s v="Mobile"/>
    <s v="Organic"/>
    <s v="Premium"/>
    <n v="1"/>
    <n v="1"/>
    <n v="1"/>
    <n v="0"/>
    <n v="0"/>
    <n v="1"/>
    <n v="0"/>
    <n v="0"/>
    <n v="70.599999999999994"/>
  </r>
  <r>
    <x v="230"/>
    <d v="2025-02-17T00:00:00"/>
    <x v="0"/>
    <x v="0"/>
    <s v="Mobile"/>
    <s v="Social"/>
    <s v="Free"/>
    <n v="0"/>
    <n v="0"/>
    <n v="0"/>
    <n v="0"/>
    <n v="0"/>
    <n v="0"/>
    <n v="0"/>
    <n v="0"/>
    <n v="69.400000000000006"/>
  </r>
  <r>
    <x v="231"/>
    <d v="2025-05-04T00:00:00"/>
    <x v="0"/>
    <x v="0"/>
    <s v="Desktop"/>
    <s v="Organic"/>
    <s v="Basic"/>
    <n v="1"/>
    <n v="0"/>
    <n v="0"/>
    <n v="0"/>
    <n v="0"/>
    <n v="0"/>
    <n v="0"/>
    <n v="0"/>
    <n v="56.1"/>
  </r>
  <r>
    <x v="232"/>
    <d v="2025-01-12T00:00:00"/>
    <x v="0"/>
    <x v="1"/>
    <s v="Mobile"/>
    <s v="Organic"/>
    <s v="Basic"/>
    <n v="0"/>
    <n v="0"/>
    <n v="0"/>
    <n v="0"/>
    <n v="0"/>
    <n v="0"/>
    <n v="0"/>
    <n v="0"/>
    <n v="55.8"/>
  </r>
  <r>
    <x v="233"/>
    <d v="2025-04-28T00:00:00"/>
    <x v="0"/>
    <x v="0"/>
    <s v="Tablet"/>
    <s v="Organic"/>
    <s v="Free"/>
    <n v="0"/>
    <n v="0"/>
    <n v="0"/>
    <n v="0"/>
    <n v="0"/>
    <n v="0"/>
    <n v="0"/>
    <n v="0"/>
    <n v="49.3"/>
  </r>
  <r>
    <x v="234"/>
    <d v="2025-02-26T00:00:00"/>
    <x v="0"/>
    <x v="0"/>
    <s v="Mobile"/>
    <s v="Organic"/>
    <s v="Free"/>
    <n v="0"/>
    <n v="0"/>
    <n v="0"/>
    <n v="0"/>
    <n v="0"/>
    <n v="0"/>
    <n v="0"/>
    <n v="0"/>
    <n v="71.8"/>
  </r>
  <r>
    <x v="235"/>
    <d v="2025-03-18T00:00:00"/>
    <x v="0"/>
    <x v="1"/>
    <s v="Mobile"/>
    <s v="Social"/>
    <s v="Free"/>
    <n v="1"/>
    <n v="0"/>
    <n v="0"/>
    <n v="0"/>
    <n v="0"/>
    <n v="3"/>
    <n v="0"/>
    <n v="0"/>
    <n v="39.700000000000003"/>
  </r>
  <r>
    <x v="236"/>
    <d v="2025-03-01T00:00:00"/>
    <x v="0"/>
    <x v="3"/>
    <s v="Desktop"/>
    <s v="Organic"/>
    <s v="Premium"/>
    <n v="1"/>
    <n v="0"/>
    <n v="0"/>
    <n v="0"/>
    <n v="0"/>
    <n v="0"/>
    <n v="0"/>
    <n v="0"/>
    <n v="45.4"/>
  </r>
  <r>
    <x v="237"/>
    <d v="2025-04-05T00:00:00"/>
    <x v="0"/>
    <x v="0"/>
    <s v="Desktop"/>
    <s v="Social"/>
    <s v="Premium"/>
    <n v="1"/>
    <n v="0"/>
    <n v="0"/>
    <n v="0"/>
    <n v="0"/>
    <n v="0"/>
    <n v="0"/>
    <n v="0"/>
    <n v="69.900000000000006"/>
  </r>
  <r>
    <x v="238"/>
    <d v="2025-03-12T00:00:00"/>
    <x v="0"/>
    <x v="0"/>
    <s v="Desktop"/>
    <s v="Social"/>
    <s v="Free"/>
    <n v="1"/>
    <n v="1"/>
    <n v="1"/>
    <n v="0"/>
    <n v="0"/>
    <n v="0"/>
    <n v="0"/>
    <n v="0"/>
    <n v="56.1"/>
  </r>
  <r>
    <x v="239"/>
    <d v="2025-03-15T00:00:00"/>
    <x v="0"/>
    <x v="1"/>
    <s v="Mobile"/>
    <s v="Referral"/>
    <s v="Basic"/>
    <n v="1"/>
    <n v="1"/>
    <n v="0"/>
    <n v="0"/>
    <n v="0"/>
    <n v="0"/>
    <n v="0"/>
    <n v="0"/>
    <n v="45.9"/>
  </r>
  <r>
    <x v="240"/>
    <d v="2025-02-23T00:00:00"/>
    <x v="0"/>
    <x v="1"/>
    <s v="Mobile"/>
    <s v="Email"/>
    <s v="Free"/>
    <n v="0"/>
    <n v="0"/>
    <n v="0"/>
    <n v="0"/>
    <n v="0"/>
    <n v="0"/>
    <n v="0"/>
    <n v="0"/>
    <n v="65.8"/>
  </r>
  <r>
    <x v="241"/>
    <d v="2025-04-22T00:00:00"/>
    <x v="0"/>
    <x v="0"/>
    <s v="Mobile"/>
    <s v="Organic"/>
    <s v="Basic"/>
    <n v="1"/>
    <n v="0"/>
    <n v="0"/>
    <n v="0"/>
    <n v="0"/>
    <n v="0"/>
    <n v="0"/>
    <n v="0"/>
    <n v="48.2"/>
  </r>
  <r>
    <x v="242"/>
    <d v="2025-01-09T00:00:00"/>
    <x v="0"/>
    <x v="2"/>
    <s v="Mobile"/>
    <s v="Organic"/>
    <s v="Basic"/>
    <n v="1"/>
    <n v="1"/>
    <n v="1"/>
    <n v="0"/>
    <n v="0"/>
    <n v="0"/>
    <n v="0"/>
    <n v="0"/>
    <n v="81.099999999999994"/>
  </r>
  <r>
    <x v="243"/>
    <d v="2025-03-05T00:00:00"/>
    <x v="0"/>
    <x v="2"/>
    <s v="Tablet"/>
    <s v="Social"/>
    <s v="Premium"/>
    <n v="1"/>
    <n v="1"/>
    <n v="0"/>
    <n v="0"/>
    <n v="0"/>
    <n v="0"/>
    <n v="0"/>
    <n v="0"/>
    <n v="53.2"/>
  </r>
  <r>
    <x v="244"/>
    <d v="2025-01-28T00:00:00"/>
    <x v="0"/>
    <x v="0"/>
    <s v="Mobile"/>
    <s v="Social"/>
    <s v="Free"/>
    <n v="1"/>
    <n v="1"/>
    <n v="1"/>
    <n v="0"/>
    <n v="0"/>
    <n v="0"/>
    <n v="0"/>
    <n v="0"/>
    <n v="57.7"/>
  </r>
  <r>
    <x v="245"/>
    <d v="2025-01-21T00:00:00"/>
    <x v="0"/>
    <x v="1"/>
    <s v="Mobile"/>
    <s v="Paid Search"/>
    <s v="Premium"/>
    <n v="1"/>
    <n v="1"/>
    <n v="0"/>
    <n v="0"/>
    <n v="0"/>
    <n v="0"/>
    <n v="0"/>
    <n v="0"/>
    <n v="78.900000000000006"/>
  </r>
  <r>
    <x v="246"/>
    <d v="2025-03-14T00:00:00"/>
    <x v="0"/>
    <x v="3"/>
    <s v="Mobile"/>
    <s v="Referral"/>
    <s v="Basic"/>
    <n v="0"/>
    <n v="0"/>
    <n v="0"/>
    <n v="0"/>
    <n v="0"/>
    <n v="0"/>
    <n v="0"/>
    <n v="0"/>
    <n v="55.7"/>
  </r>
  <r>
    <x v="247"/>
    <d v="2025-02-03T00:00:00"/>
    <x v="0"/>
    <x v="1"/>
    <s v="Mobile"/>
    <s v="Paid Search"/>
    <s v="Free"/>
    <n v="0"/>
    <n v="0"/>
    <n v="0"/>
    <n v="0"/>
    <n v="0"/>
    <n v="0"/>
    <n v="0"/>
    <n v="0"/>
    <n v="52.3"/>
  </r>
  <r>
    <x v="248"/>
    <d v="2025-05-22T00:00:00"/>
    <x v="0"/>
    <x v="0"/>
    <s v="Mobile"/>
    <s v="Social"/>
    <s v="Free"/>
    <n v="1"/>
    <n v="0"/>
    <n v="0"/>
    <n v="0"/>
    <n v="0"/>
    <n v="0"/>
    <n v="0"/>
    <n v="0"/>
    <n v="51.5"/>
  </r>
  <r>
    <x v="249"/>
    <d v="2025-04-25T00:00:00"/>
    <x v="0"/>
    <x v="0"/>
    <s v="Desktop"/>
    <s v="Email"/>
    <s v="Free"/>
    <n v="1"/>
    <n v="0"/>
    <n v="0"/>
    <n v="0"/>
    <n v="0"/>
    <n v="0"/>
    <n v="0"/>
    <n v="0"/>
    <n v="70.8"/>
  </r>
  <r>
    <x v="250"/>
    <d v="2025-01-30T00:00:00"/>
    <x v="0"/>
    <x v="0"/>
    <s v="Desktop"/>
    <s v="Email"/>
    <s v="Basic"/>
    <n v="1"/>
    <n v="1"/>
    <n v="1"/>
    <n v="1"/>
    <n v="1250.78"/>
    <n v="0"/>
    <n v="0"/>
    <n v="10"/>
    <n v="39"/>
  </r>
  <r>
    <x v="251"/>
    <d v="2025-05-23T00:00:00"/>
    <x v="0"/>
    <x v="1"/>
    <s v="Mobile"/>
    <s v="Organic"/>
    <s v="Free"/>
    <n v="1"/>
    <n v="0"/>
    <n v="0"/>
    <n v="0"/>
    <n v="0"/>
    <n v="0"/>
    <n v="0"/>
    <n v="0"/>
    <n v="61.6"/>
  </r>
  <r>
    <x v="252"/>
    <d v="2025-02-14T00:00:00"/>
    <x v="0"/>
    <x v="2"/>
    <s v="Desktop"/>
    <s v="Organic"/>
    <s v="Free"/>
    <n v="1"/>
    <n v="1"/>
    <n v="1"/>
    <n v="0"/>
    <n v="0"/>
    <n v="0"/>
    <n v="0"/>
    <n v="0"/>
    <n v="46.8"/>
  </r>
  <r>
    <x v="253"/>
    <d v="2025-03-05T00:00:00"/>
    <x v="0"/>
    <x v="0"/>
    <s v="Mobile"/>
    <s v="Paid Search"/>
    <s v="Premium"/>
    <n v="0"/>
    <n v="0"/>
    <n v="0"/>
    <n v="0"/>
    <n v="0"/>
    <n v="1"/>
    <n v="0"/>
    <n v="0"/>
    <n v="58.5"/>
  </r>
  <r>
    <x v="254"/>
    <d v="2025-05-27T00:00:00"/>
    <x v="0"/>
    <x v="0"/>
    <s v="Mobile"/>
    <s v="Paid Search"/>
    <s v="Basic"/>
    <n v="0"/>
    <n v="0"/>
    <n v="0"/>
    <n v="0"/>
    <n v="0"/>
    <n v="0"/>
    <n v="0"/>
    <n v="0"/>
    <n v="70.900000000000006"/>
  </r>
  <r>
    <x v="255"/>
    <d v="2025-01-07T00:00:00"/>
    <x v="0"/>
    <x v="3"/>
    <s v="Mobile"/>
    <s v="Paid Search"/>
    <s v="Free"/>
    <n v="1"/>
    <n v="0"/>
    <n v="0"/>
    <n v="0"/>
    <n v="0"/>
    <n v="0"/>
    <n v="0"/>
    <n v="0"/>
    <n v="48.4"/>
  </r>
  <r>
    <x v="256"/>
    <d v="2025-04-21T00:00:00"/>
    <x v="0"/>
    <x v="0"/>
    <s v="Mobile"/>
    <s v="Email"/>
    <s v="Free"/>
    <n v="1"/>
    <n v="0"/>
    <n v="0"/>
    <n v="0"/>
    <n v="0"/>
    <n v="0"/>
    <n v="0"/>
    <n v="0"/>
    <n v="58"/>
  </r>
  <r>
    <x v="257"/>
    <d v="2025-05-13T00:00:00"/>
    <x v="0"/>
    <x v="0"/>
    <s v="Mobile"/>
    <s v="Paid Search"/>
    <s v="Free"/>
    <n v="0"/>
    <n v="0"/>
    <n v="0"/>
    <n v="0"/>
    <n v="0"/>
    <n v="0"/>
    <n v="0"/>
    <n v="0"/>
    <n v="61.6"/>
  </r>
  <r>
    <x v="258"/>
    <d v="2025-01-28T00:00:00"/>
    <x v="0"/>
    <x v="2"/>
    <s v="Desktop"/>
    <s v="Organic"/>
    <s v="Free"/>
    <n v="1"/>
    <n v="0"/>
    <n v="0"/>
    <n v="0"/>
    <n v="0"/>
    <n v="0"/>
    <n v="0"/>
    <n v="0"/>
    <n v="43.2"/>
  </r>
  <r>
    <x v="259"/>
    <d v="2025-03-16T00:00:00"/>
    <x v="0"/>
    <x v="2"/>
    <s v="Desktop"/>
    <s v="Paid Search"/>
    <s v="Basic"/>
    <n v="1"/>
    <n v="0"/>
    <n v="0"/>
    <n v="0"/>
    <n v="0"/>
    <n v="1"/>
    <n v="0"/>
    <n v="0"/>
    <n v="53.3"/>
  </r>
  <r>
    <x v="260"/>
    <d v="2025-04-10T00:00:00"/>
    <x v="0"/>
    <x v="2"/>
    <s v="Desktop"/>
    <s v="Social"/>
    <s v="Basic"/>
    <n v="0"/>
    <n v="0"/>
    <n v="0"/>
    <n v="0"/>
    <n v="0"/>
    <n v="0"/>
    <n v="0"/>
    <n v="0"/>
    <n v="33.9"/>
  </r>
  <r>
    <x v="261"/>
    <d v="2025-03-15T00:00:00"/>
    <x v="0"/>
    <x v="2"/>
    <s v="Desktop"/>
    <s v="Referral"/>
    <s v="Free"/>
    <n v="1"/>
    <n v="1"/>
    <n v="1"/>
    <n v="0"/>
    <n v="0"/>
    <n v="0"/>
    <n v="0"/>
    <n v="0"/>
    <n v="35.4"/>
  </r>
  <r>
    <x v="262"/>
    <d v="2025-04-07T00:00:00"/>
    <x v="0"/>
    <x v="1"/>
    <s v="Desktop"/>
    <s v="Organic"/>
    <s v="Basic"/>
    <n v="1"/>
    <n v="0"/>
    <n v="0"/>
    <n v="0"/>
    <n v="0"/>
    <n v="0"/>
    <n v="0"/>
    <n v="0"/>
    <n v="45"/>
  </r>
  <r>
    <x v="263"/>
    <d v="2025-02-12T00:00:00"/>
    <x v="0"/>
    <x v="3"/>
    <s v="Mobile"/>
    <s v="Organic"/>
    <s v="Free"/>
    <n v="1"/>
    <n v="1"/>
    <n v="0"/>
    <n v="0"/>
    <n v="0"/>
    <n v="0"/>
    <n v="0"/>
    <n v="0"/>
    <n v="86.5"/>
  </r>
  <r>
    <x v="264"/>
    <d v="2025-05-05T00:00:00"/>
    <x v="0"/>
    <x v="1"/>
    <s v="Mobile"/>
    <s v="Social"/>
    <s v="Free"/>
    <n v="0"/>
    <n v="0"/>
    <n v="0"/>
    <n v="0"/>
    <n v="0"/>
    <n v="0"/>
    <n v="0"/>
    <n v="0"/>
    <n v="58.1"/>
  </r>
  <r>
    <x v="265"/>
    <d v="2025-03-11T00:00:00"/>
    <x v="0"/>
    <x v="1"/>
    <s v="Mobile"/>
    <s v="Referral"/>
    <s v="Free"/>
    <n v="1"/>
    <n v="0"/>
    <n v="0"/>
    <n v="0"/>
    <n v="0"/>
    <n v="0"/>
    <n v="0"/>
    <n v="0"/>
    <n v="36.1"/>
  </r>
  <r>
    <x v="266"/>
    <d v="2025-02-10T00:00:00"/>
    <x v="0"/>
    <x v="2"/>
    <s v="Mobile"/>
    <s v="Social"/>
    <s v="Free"/>
    <n v="0"/>
    <n v="0"/>
    <n v="0"/>
    <n v="0"/>
    <n v="0"/>
    <n v="0"/>
    <n v="0"/>
    <n v="0"/>
    <n v="62.8"/>
  </r>
  <r>
    <x v="267"/>
    <d v="2025-04-06T00:00:00"/>
    <x v="0"/>
    <x v="3"/>
    <s v="Mobile"/>
    <s v="Organic"/>
    <s v="Free"/>
    <n v="0"/>
    <n v="0"/>
    <n v="0"/>
    <n v="0"/>
    <n v="0"/>
    <n v="0"/>
    <n v="0"/>
    <n v="0"/>
    <n v="54.2"/>
  </r>
  <r>
    <x v="268"/>
    <d v="2025-01-06T00:00:00"/>
    <x v="0"/>
    <x v="2"/>
    <s v="Mobile"/>
    <s v="Referral"/>
    <s v="Free"/>
    <n v="0"/>
    <n v="0"/>
    <n v="0"/>
    <n v="0"/>
    <n v="0"/>
    <n v="0"/>
    <n v="0"/>
    <n v="0"/>
    <n v="50"/>
  </r>
  <r>
    <x v="269"/>
    <d v="2025-03-25T00:00:00"/>
    <x v="0"/>
    <x v="2"/>
    <s v="Tablet"/>
    <s v="Paid Search"/>
    <s v="Basic"/>
    <n v="1"/>
    <n v="0"/>
    <n v="0"/>
    <n v="0"/>
    <n v="0"/>
    <n v="0"/>
    <n v="0"/>
    <n v="0"/>
    <n v="62"/>
  </r>
  <r>
    <x v="270"/>
    <d v="2025-02-13T00:00:00"/>
    <x v="0"/>
    <x v="2"/>
    <s v="Desktop"/>
    <s v="Referral"/>
    <s v="Free"/>
    <n v="1"/>
    <n v="0"/>
    <n v="0"/>
    <n v="0"/>
    <n v="0"/>
    <n v="0"/>
    <n v="0"/>
    <n v="0"/>
    <n v="29.3"/>
  </r>
  <r>
    <x v="271"/>
    <d v="2025-03-17T00:00:00"/>
    <x v="0"/>
    <x v="1"/>
    <s v="Desktop"/>
    <s v="Organic"/>
    <s v="Free"/>
    <n v="1"/>
    <n v="0"/>
    <n v="0"/>
    <n v="0"/>
    <n v="0"/>
    <n v="0"/>
    <n v="0"/>
    <n v="0"/>
    <n v="67.900000000000006"/>
  </r>
  <r>
    <x v="272"/>
    <d v="2025-05-10T00:00:00"/>
    <x v="0"/>
    <x v="0"/>
    <s v="Mobile"/>
    <s v="Referral"/>
    <s v="Free"/>
    <n v="1"/>
    <n v="1"/>
    <n v="1"/>
    <n v="0"/>
    <n v="0"/>
    <n v="0"/>
    <n v="0"/>
    <n v="0"/>
    <n v="67.599999999999994"/>
  </r>
  <r>
    <x v="273"/>
    <d v="2025-05-07T00:00:00"/>
    <x v="0"/>
    <x v="3"/>
    <s v="Mobile"/>
    <s v="Paid Search"/>
    <s v="Basic"/>
    <n v="0"/>
    <n v="0"/>
    <n v="0"/>
    <n v="0"/>
    <n v="0"/>
    <n v="0"/>
    <n v="0"/>
    <n v="0"/>
    <n v="67.400000000000006"/>
  </r>
  <r>
    <x v="274"/>
    <d v="2025-02-26T00:00:00"/>
    <x v="0"/>
    <x v="1"/>
    <s v="Desktop"/>
    <s v="Paid Search"/>
    <s v="Premium"/>
    <n v="0"/>
    <n v="0"/>
    <n v="0"/>
    <n v="0"/>
    <n v="0"/>
    <n v="2"/>
    <n v="0"/>
    <n v="0"/>
    <n v="53"/>
  </r>
  <r>
    <x v="275"/>
    <d v="2025-05-11T00:00:00"/>
    <x v="0"/>
    <x v="0"/>
    <s v="Mobile"/>
    <s v="Organic"/>
    <s v="Basic"/>
    <n v="0"/>
    <n v="0"/>
    <n v="0"/>
    <n v="0"/>
    <n v="0"/>
    <n v="0"/>
    <n v="0"/>
    <n v="0"/>
    <n v="65.5"/>
  </r>
  <r>
    <x v="276"/>
    <d v="2025-03-20T00:00:00"/>
    <x v="0"/>
    <x v="3"/>
    <s v="Mobile"/>
    <s v="Organic"/>
    <s v="Basic"/>
    <n v="1"/>
    <n v="1"/>
    <n v="0"/>
    <n v="0"/>
    <n v="0"/>
    <n v="0"/>
    <n v="0"/>
    <n v="0"/>
    <n v="49.6"/>
  </r>
  <r>
    <x v="277"/>
    <d v="2025-01-19T00:00:00"/>
    <x v="0"/>
    <x v="0"/>
    <s v="Mobile"/>
    <s v="Email"/>
    <s v="Free"/>
    <n v="1"/>
    <n v="1"/>
    <n v="0"/>
    <n v="0"/>
    <n v="0"/>
    <n v="0"/>
    <n v="0"/>
    <n v="0"/>
    <n v="74.5"/>
  </r>
  <r>
    <x v="278"/>
    <d v="2025-03-08T00:00:00"/>
    <x v="0"/>
    <x v="0"/>
    <s v="Tablet"/>
    <s v="Paid Search"/>
    <s v="Premium"/>
    <n v="1"/>
    <n v="0"/>
    <n v="0"/>
    <n v="0"/>
    <n v="0"/>
    <n v="1"/>
    <n v="0"/>
    <n v="0"/>
    <n v="46.9"/>
  </r>
  <r>
    <x v="279"/>
    <d v="2025-04-25T00:00:00"/>
    <x v="0"/>
    <x v="0"/>
    <s v="Mobile"/>
    <s v="Organic"/>
    <s v="Free"/>
    <n v="0"/>
    <n v="0"/>
    <n v="0"/>
    <n v="0"/>
    <n v="0"/>
    <n v="0"/>
    <n v="0"/>
    <n v="0"/>
    <n v="87.1"/>
  </r>
  <r>
    <x v="280"/>
    <d v="2025-04-04T00:00:00"/>
    <x v="0"/>
    <x v="0"/>
    <s v="Desktop"/>
    <s v="Organic"/>
    <s v="Free"/>
    <n v="1"/>
    <n v="0"/>
    <n v="0"/>
    <n v="0"/>
    <n v="0"/>
    <n v="0"/>
    <n v="0"/>
    <n v="0"/>
    <n v="56"/>
  </r>
  <r>
    <x v="281"/>
    <d v="2025-05-01T00:00:00"/>
    <x v="0"/>
    <x v="2"/>
    <s v="Mobile"/>
    <s v="Paid Search"/>
    <s v="Premium"/>
    <n v="1"/>
    <n v="0"/>
    <n v="0"/>
    <n v="0"/>
    <n v="0"/>
    <n v="1"/>
    <n v="0"/>
    <n v="0"/>
    <n v="61.7"/>
  </r>
  <r>
    <x v="282"/>
    <d v="2025-01-21T00:00:00"/>
    <x v="0"/>
    <x v="3"/>
    <s v="Mobile"/>
    <s v="Social"/>
    <s v="Free"/>
    <n v="1"/>
    <n v="0"/>
    <n v="0"/>
    <n v="0"/>
    <n v="0"/>
    <n v="1"/>
    <n v="0"/>
    <n v="0"/>
    <n v="70.5"/>
  </r>
  <r>
    <x v="283"/>
    <d v="2025-02-10T00:00:00"/>
    <x v="0"/>
    <x v="0"/>
    <s v="Desktop"/>
    <s v="Referral"/>
    <s v="Basic"/>
    <n v="1"/>
    <n v="0"/>
    <n v="0"/>
    <n v="0"/>
    <n v="0"/>
    <n v="0"/>
    <n v="0"/>
    <n v="0"/>
    <n v="33.4"/>
  </r>
  <r>
    <x v="284"/>
    <d v="2025-05-06T00:00:00"/>
    <x v="0"/>
    <x v="3"/>
    <s v="Desktop"/>
    <s v="Organic"/>
    <s v="Free"/>
    <n v="1"/>
    <n v="0"/>
    <n v="0"/>
    <n v="0"/>
    <n v="0"/>
    <n v="0"/>
    <n v="0"/>
    <n v="0"/>
    <n v="57.5"/>
  </r>
  <r>
    <x v="285"/>
    <d v="2025-02-08T00:00:00"/>
    <x v="0"/>
    <x v="0"/>
    <s v="Desktop"/>
    <s v="Paid Search"/>
    <s v="Basic"/>
    <n v="1"/>
    <n v="1"/>
    <n v="0"/>
    <n v="0"/>
    <n v="0"/>
    <n v="0"/>
    <n v="0"/>
    <n v="0"/>
    <n v="85.7"/>
  </r>
  <r>
    <x v="286"/>
    <d v="2025-05-31T00:00:00"/>
    <x v="0"/>
    <x v="2"/>
    <s v="Mobile"/>
    <s v="Social"/>
    <s v="Free"/>
    <n v="1"/>
    <n v="0"/>
    <n v="0"/>
    <n v="0"/>
    <n v="0"/>
    <n v="0"/>
    <n v="0"/>
    <n v="0"/>
    <n v="41.9"/>
  </r>
  <r>
    <x v="287"/>
    <d v="2025-02-07T00:00:00"/>
    <x v="0"/>
    <x v="1"/>
    <s v="Mobile"/>
    <s v="Email"/>
    <s v="Basic"/>
    <n v="1"/>
    <n v="0"/>
    <n v="0"/>
    <n v="0"/>
    <n v="0"/>
    <n v="0"/>
    <n v="0"/>
    <n v="0"/>
    <n v="70.2"/>
  </r>
  <r>
    <x v="288"/>
    <d v="2025-02-10T00:00:00"/>
    <x v="0"/>
    <x v="0"/>
    <s v="Mobile"/>
    <s v="Social"/>
    <s v="Free"/>
    <n v="1"/>
    <n v="0"/>
    <n v="0"/>
    <n v="0"/>
    <n v="0"/>
    <n v="0"/>
    <n v="0"/>
    <n v="0"/>
    <n v="42.6"/>
  </r>
  <r>
    <x v="289"/>
    <d v="2025-01-31T00:00:00"/>
    <x v="0"/>
    <x v="1"/>
    <s v="Mobile"/>
    <s v="Social"/>
    <s v="Basic"/>
    <n v="0"/>
    <n v="0"/>
    <n v="0"/>
    <n v="0"/>
    <n v="0"/>
    <n v="2"/>
    <n v="0"/>
    <n v="0"/>
    <n v="30.4"/>
  </r>
  <r>
    <x v="290"/>
    <d v="2025-03-16T00:00:00"/>
    <x v="0"/>
    <x v="2"/>
    <s v="Mobile"/>
    <s v="Paid Search"/>
    <s v="Basic"/>
    <n v="1"/>
    <n v="0"/>
    <n v="0"/>
    <n v="0"/>
    <n v="0"/>
    <n v="0"/>
    <n v="0"/>
    <n v="0"/>
    <n v="63.7"/>
  </r>
  <r>
    <x v="291"/>
    <d v="2025-04-24T00:00:00"/>
    <x v="0"/>
    <x v="3"/>
    <s v="Mobile"/>
    <s v="Social"/>
    <s v="Basic"/>
    <n v="0"/>
    <n v="0"/>
    <n v="0"/>
    <n v="0"/>
    <n v="0"/>
    <n v="0"/>
    <n v="0"/>
    <n v="0"/>
    <n v="42.7"/>
  </r>
  <r>
    <x v="292"/>
    <d v="2025-01-28T00:00:00"/>
    <x v="0"/>
    <x v="0"/>
    <s v="Mobile"/>
    <s v="Organic"/>
    <s v="Free"/>
    <n v="0"/>
    <n v="0"/>
    <n v="0"/>
    <n v="0"/>
    <n v="0"/>
    <n v="0"/>
    <n v="0"/>
    <n v="0"/>
    <n v="74.3"/>
  </r>
  <r>
    <x v="293"/>
    <d v="2025-02-16T00:00:00"/>
    <x v="0"/>
    <x v="1"/>
    <s v="Desktop"/>
    <s v="Email"/>
    <s v="Free"/>
    <n v="1"/>
    <n v="0"/>
    <n v="0"/>
    <n v="0"/>
    <n v="0"/>
    <n v="0"/>
    <n v="0"/>
    <n v="0"/>
    <n v="40.6"/>
  </r>
  <r>
    <x v="294"/>
    <d v="2025-03-23T00:00:00"/>
    <x v="0"/>
    <x v="2"/>
    <s v="Mobile"/>
    <s v="Organic"/>
    <s v="Premium"/>
    <n v="0"/>
    <n v="0"/>
    <n v="0"/>
    <n v="0"/>
    <n v="0"/>
    <n v="0"/>
    <n v="0"/>
    <n v="0"/>
    <n v="67"/>
  </r>
  <r>
    <x v="295"/>
    <d v="2025-05-31T00:00:00"/>
    <x v="0"/>
    <x v="2"/>
    <s v="Mobile"/>
    <s v="Paid Search"/>
    <s v="Premium"/>
    <n v="0"/>
    <n v="0"/>
    <n v="0"/>
    <n v="0"/>
    <n v="0"/>
    <n v="0"/>
    <n v="0"/>
    <n v="0"/>
    <n v="51"/>
  </r>
  <r>
    <x v="296"/>
    <d v="2025-04-13T00:00:00"/>
    <x v="0"/>
    <x v="1"/>
    <s v="Mobile"/>
    <s v="Social"/>
    <s v="Basic"/>
    <n v="1"/>
    <n v="1"/>
    <n v="0"/>
    <n v="0"/>
    <n v="0"/>
    <n v="1"/>
    <n v="0"/>
    <n v="0"/>
    <n v="54.8"/>
  </r>
  <r>
    <x v="297"/>
    <d v="2025-05-14T00:00:00"/>
    <x v="0"/>
    <x v="0"/>
    <s v="Tablet"/>
    <s v="Email"/>
    <s v="Basic"/>
    <n v="0"/>
    <n v="0"/>
    <n v="0"/>
    <n v="0"/>
    <n v="0"/>
    <n v="0"/>
    <n v="0"/>
    <n v="0"/>
    <n v="40.799999999999997"/>
  </r>
  <r>
    <x v="298"/>
    <d v="2025-02-19T00:00:00"/>
    <x v="0"/>
    <x v="2"/>
    <s v="Mobile"/>
    <s v="Paid Search"/>
    <s v="Free"/>
    <n v="0"/>
    <n v="0"/>
    <n v="0"/>
    <n v="0"/>
    <n v="0"/>
    <n v="0"/>
    <n v="0"/>
    <n v="0"/>
    <n v="48.8"/>
  </r>
  <r>
    <x v="299"/>
    <d v="2025-01-24T00:00:00"/>
    <x v="0"/>
    <x v="3"/>
    <s v="Mobile"/>
    <s v="Unknown"/>
    <s v="Basic"/>
    <n v="1"/>
    <n v="1"/>
    <n v="1"/>
    <n v="1"/>
    <n v="1198.69"/>
    <n v="1"/>
    <n v="0"/>
    <n v="6"/>
    <n v="88.9"/>
  </r>
  <r>
    <x v="300"/>
    <d v="2025-05-09T00:00:00"/>
    <x v="0"/>
    <x v="0"/>
    <s v="Mobile"/>
    <s v="Email"/>
    <s v="Basic"/>
    <n v="1"/>
    <n v="1"/>
    <n v="1"/>
    <n v="0"/>
    <n v="0"/>
    <n v="1"/>
    <n v="0"/>
    <n v="0"/>
    <n v="60.5"/>
  </r>
  <r>
    <x v="301"/>
    <d v="2025-02-11T00:00:00"/>
    <x v="0"/>
    <x v="0"/>
    <s v="Mobile"/>
    <s v="Organic"/>
    <s v="Basic"/>
    <n v="1"/>
    <n v="0"/>
    <n v="0"/>
    <n v="0"/>
    <n v="0"/>
    <n v="0"/>
    <n v="0"/>
    <n v="0"/>
    <n v="63.6"/>
  </r>
  <r>
    <x v="302"/>
    <d v="2025-02-26T00:00:00"/>
    <x v="0"/>
    <x v="0"/>
    <s v="Desktop"/>
    <s v="Organic"/>
    <s v="Basic"/>
    <n v="1"/>
    <n v="1"/>
    <n v="1"/>
    <n v="1"/>
    <n v="6788.95"/>
    <n v="0"/>
    <n v="0"/>
    <n v="17"/>
    <n v="58.4"/>
  </r>
  <r>
    <x v="303"/>
    <d v="2025-02-12T00:00:00"/>
    <x v="0"/>
    <x v="3"/>
    <s v="Mobile"/>
    <s v="Social"/>
    <s v="Premium"/>
    <n v="0"/>
    <n v="0"/>
    <n v="0"/>
    <n v="0"/>
    <n v="0"/>
    <n v="0"/>
    <n v="0"/>
    <n v="0"/>
    <n v="52.7"/>
  </r>
  <r>
    <x v="304"/>
    <d v="2025-01-05T00:00:00"/>
    <x v="0"/>
    <x v="3"/>
    <s v="Tablet"/>
    <s v="Social"/>
    <s v="Premium"/>
    <n v="1"/>
    <n v="1"/>
    <n v="1"/>
    <n v="0"/>
    <n v="0"/>
    <n v="2"/>
    <n v="0"/>
    <n v="0"/>
    <n v="48.9"/>
  </r>
  <r>
    <x v="305"/>
    <d v="2025-05-19T00:00:00"/>
    <x v="0"/>
    <x v="1"/>
    <s v="Mobile"/>
    <s v="Organic"/>
    <s v="Premium"/>
    <n v="0"/>
    <n v="0"/>
    <n v="0"/>
    <n v="0"/>
    <n v="0"/>
    <n v="0"/>
    <n v="0"/>
    <n v="0"/>
    <n v="79.7"/>
  </r>
  <r>
    <x v="306"/>
    <d v="2025-02-02T00:00:00"/>
    <x v="0"/>
    <x v="0"/>
    <s v="Mobile"/>
    <s v="Social"/>
    <s v="Free"/>
    <n v="1"/>
    <n v="0"/>
    <n v="0"/>
    <n v="0"/>
    <n v="0"/>
    <n v="0"/>
    <n v="0"/>
    <n v="0"/>
    <n v="44.9"/>
  </r>
  <r>
    <x v="307"/>
    <d v="2025-01-30T00:00:00"/>
    <x v="0"/>
    <x v="1"/>
    <s v="Tablet"/>
    <s v="Paid Search"/>
    <s v="Free"/>
    <n v="1"/>
    <n v="1"/>
    <n v="1"/>
    <n v="1"/>
    <n v="409.39"/>
    <n v="0"/>
    <n v="0"/>
    <n v="10"/>
    <n v="38.799999999999997"/>
  </r>
  <r>
    <x v="308"/>
    <d v="2025-05-01T00:00:00"/>
    <x v="0"/>
    <x v="3"/>
    <s v="Desktop"/>
    <s v="Email"/>
    <s v="Free"/>
    <n v="0"/>
    <n v="0"/>
    <n v="0"/>
    <n v="0"/>
    <n v="0"/>
    <n v="0"/>
    <n v="0"/>
    <n v="0"/>
    <n v="70"/>
  </r>
  <r>
    <x v="309"/>
    <d v="2025-05-16T00:00:00"/>
    <x v="0"/>
    <x v="3"/>
    <s v="Desktop"/>
    <s v="Referral"/>
    <s v="Basic"/>
    <n v="1"/>
    <n v="0"/>
    <n v="0"/>
    <n v="0"/>
    <n v="0"/>
    <n v="0"/>
    <n v="0"/>
    <n v="0"/>
    <n v="77.7"/>
  </r>
  <r>
    <x v="310"/>
    <d v="2025-03-08T00:00:00"/>
    <x v="0"/>
    <x v="1"/>
    <s v="Mobile"/>
    <s v="Organic"/>
    <s v="Free"/>
    <n v="0"/>
    <n v="0"/>
    <n v="0"/>
    <n v="0"/>
    <n v="0"/>
    <n v="0"/>
    <n v="0"/>
    <n v="0"/>
    <n v="71.2"/>
  </r>
  <r>
    <x v="311"/>
    <d v="2025-04-04T00:00:00"/>
    <x v="0"/>
    <x v="0"/>
    <s v="Mobile"/>
    <s v="Organic"/>
    <s v="Basic"/>
    <n v="1"/>
    <n v="0"/>
    <n v="0"/>
    <n v="0"/>
    <n v="0"/>
    <n v="0"/>
    <n v="0"/>
    <n v="0"/>
    <n v="43.8"/>
  </r>
  <r>
    <x v="312"/>
    <d v="2025-05-30T00:00:00"/>
    <x v="0"/>
    <x v="3"/>
    <s v="Tablet"/>
    <s v="Organic"/>
    <s v="Free"/>
    <n v="1"/>
    <n v="0"/>
    <n v="0"/>
    <n v="0"/>
    <n v="0"/>
    <n v="0"/>
    <n v="0"/>
    <n v="0"/>
    <n v="50.9"/>
  </r>
  <r>
    <x v="313"/>
    <d v="2025-01-05T00:00:00"/>
    <x v="0"/>
    <x v="1"/>
    <s v="Mobile"/>
    <s v="Organic"/>
    <s v="Premium"/>
    <n v="0"/>
    <n v="0"/>
    <n v="0"/>
    <n v="0"/>
    <n v="0"/>
    <n v="0"/>
    <n v="0"/>
    <n v="0"/>
    <n v="58.5"/>
  </r>
  <r>
    <x v="314"/>
    <d v="2025-01-20T00:00:00"/>
    <x v="0"/>
    <x v="2"/>
    <s v="Mobile"/>
    <s v="Organic"/>
    <s v="Free"/>
    <n v="1"/>
    <n v="1"/>
    <n v="1"/>
    <n v="0"/>
    <n v="0"/>
    <n v="0"/>
    <n v="0"/>
    <n v="0"/>
    <n v="53.6"/>
  </r>
  <r>
    <x v="315"/>
    <d v="2025-05-01T00:00:00"/>
    <x v="0"/>
    <x v="2"/>
    <s v="Mobile"/>
    <s v="Email"/>
    <s v="Free"/>
    <n v="0"/>
    <n v="0"/>
    <n v="0"/>
    <n v="0"/>
    <n v="0"/>
    <n v="0"/>
    <n v="0"/>
    <n v="0"/>
    <n v="54.9"/>
  </r>
  <r>
    <x v="316"/>
    <d v="2025-03-05T00:00:00"/>
    <x v="0"/>
    <x v="0"/>
    <s v="Desktop"/>
    <s v="Organic"/>
    <s v="Premium"/>
    <n v="0"/>
    <n v="0"/>
    <n v="0"/>
    <n v="0"/>
    <n v="0"/>
    <n v="0"/>
    <n v="0"/>
    <n v="0"/>
    <n v="57.3"/>
  </r>
  <r>
    <x v="317"/>
    <d v="2025-04-01T00:00:00"/>
    <x v="0"/>
    <x v="2"/>
    <s v="Desktop"/>
    <s v="Referral"/>
    <s v="Free"/>
    <n v="1"/>
    <n v="0"/>
    <n v="0"/>
    <n v="0"/>
    <n v="0"/>
    <n v="0"/>
    <n v="0"/>
    <n v="0"/>
    <n v="52.1"/>
  </r>
  <r>
    <x v="318"/>
    <d v="2025-05-03T00:00:00"/>
    <x v="0"/>
    <x v="0"/>
    <s v="Mobile"/>
    <s v="Organic"/>
    <s v="Free"/>
    <n v="1"/>
    <n v="0"/>
    <n v="0"/>
    <n v="0"/>
    <n v="0"/>
    <n v="0"/>
    <n v="0"/>
    <n v="0"/>
    <n v="80"/>
  </r>
  <r>
    <x v="319"/>
    <d v="2025-03-06T00:00:00"/>
    <x v="0"/>
    <x v="3"/>
    <s v="Desktop"/>
    <s v="Paid Search"/>
    <s v="Premium"/>
    <n v="1"/>
    <n v="0"/>
    <n v="0"/>
    <n v="0"/>
    <n v="0"/>
    <n v="0"/>
    <n v="0"/>
    <n v="0"/>
    <n v="39.299999999999997"/>
  </r>
  <r>
    <x v="320"/>
    <d v="2025-04-01T00:00:00"/>
    <x v="0"/>
    <x v="0"/>
    <s v="Desktop"/>
    <s v="Referral"/>
    <s v="Premium"/>
    <n v="0"/>
    <n v="0"/>
    <n v="0"/>
    <n v="0"/>
    <n v="0"/>
    <n v="0"/>
    <n v="0"/>
    <n v="0"/>
    <n v="45.7"/>
  </r>
  <r>
    <x v="321"/>
    <d v="2025-02-09T00:00:00"/>
    <x v="0"/>
    <x v="0"/>
    <s v="Desktop"/>
    <s v="Social"/>
    <s v="Basic"/>
    <n v="1"/>
    <n v="0"/>
    <n v="0"/>
    <n v="0"/>
    <n v="0"/>
    <n v="2"/>
    <n v="0"/>
    <n v="0"/>
    <n v="61.2"/>
  </r>
  <r>
    <x v="322"/>
    <d v="2025-04-12T00:00:00"/>
    <x v="0"/>
    <x v="1"/>
    <s v="Mobile"/>
    <s v="Organic"/>
    <s v="Basic"/>
    <n v="1"/>
    <n v="1"/>
    <n v="0"/>
    <n v="0"/>
    <n v="0"/>
    <n v="0"/>
    <n v="0"/>
    <n v="0"/>
    <n v="66.2"/>
  </r>
  <r>
    <x v="323"/>
    <d v="2025-03-18T00:00:00"/>
    <x v="0"/>
    <x v="2"/>
    <s v="Mobile"/>
    <s v="Social"/>
    <s v="Free"/>
    <n v="1"/>
    <n v="1"/>
    <n v="1"/>
    <n v="0"/>
    <n v="0"/>
    <n v="0"/>
    <n v="0"/>
    <n v="0"/>
    <n v="61.3"/>
  </r>
  <r>
    <x v="324"/>
    <d v="2025-04-03T00:00:00"/>
    <x v="0"/>
    <x v="2"/>
    <s v="Mobile"/>
    <s v="Paid Search"/>
    <s v="Free"/>
    <n v="1"/>
    <n v="0"/>
    <n v="0"/>
    <n v="0"/>
    <n v="0"/>
    <n v="0"/>
    <n v="0"/>
    <n v="0"/>
    <n v="72.2"/>
  </r>
  <r>
    <x v="325"/>
    <d v="2025-04-02T00:00:00"/>
    <x v="0"/>
    <x v="1"/>
    <s v="Mobile"/>
    <s v="Email"/>
    <s v="Premium"/>
    <n v="1"/>
    <n v="1"/>
    <n v="1"/>
    <n v="0"/>
    <n v="0"/>
    <n v="0"/>
    <n v="0"/>
    <n v="0"/>
    <n v="84"/>
  </r>
  <r>
    <x v="326"/>
    <d v="2025-05-10T00:00:00"/>
    <x v="0"/>
    <x v="1"/>
    <s v="Desktop"/>
    <s v="Email"/>
    <s v="Basic"/>
    <n v="0"/>
    <n v="0"/>
    <n v="0"/>
    <n v="0"/>
    <n v="0"/>
    <n v="0"/>
    <n v="0"/>
    <n v="0"/>
    <n v="59.8"/>
  </r>
  <r>
    <x v="327"/>
    <d v="2025-04-29T00:00:00"/>
    <x v="0"/>
    <x v="1"/>
    <s v="Desktop"/>
    <s v="Paid Search"/>
    <s v="Free"/>
    <n v="1"/>
    <n v="0"/>
    <n v="0"/>
    <n v="0"/>
    <n v="0"/>
    <n v="0"/>
    <n v="0"/>
    <n v="0"/>
    <n v="64.900000000000006"/>
  </r>
  <r>
    <x v="328"/>
    <d v="2025-02-27T00:00:00"/>
    <x v="0"/>
    <x v="3"/>
    <s v="Mobile"/>
    <s v="Paid Search"/>
    <s v="Free"/>
    <n v="1"/>
    <n v="0"/>
    <n v="0"/>
    <n v="0"/>
    <n v="0"/>
    <n v="0"/>
    <n v="0"/>
    <n v="0"/>
    <n v="66.8"/>
  </r>
  <r>
    <x v="329"/>
    <d v="2025-04-10T00:00:00"/>
    <x v="0"/>
    <x v="0"/>
    <s v="Desktop"/>
    <s v="Organic"/>
    <s v="Premium"/>
    <n v="0"/>
    <n v="0"/>
    <n v="0"/>
    <n v="0"/>
    <n v="0"/>
    <n v="0"/>
    <n v="0"/>
    <n v="0"/>
    <n v="70.900000000000006"/>
  </r>
  <r>
    <x v="330"/>
    <d v="2025-02-13T00:00:00"/>
    <x v="0"/>
    <x v="2"/>
    <s v="Mobile"/>
    <s v="Organic"/>
    <s v="Free"/>
    <n v="1"/>
    <n v="1"/>
    <n v="1"/>
    <n v="1"/>
    <n v="426.82"/>
    <n v="1"/>
    <n v="0"/>
    <n v="14"/>
    <n v="68.8"/>
  </r>
  <r>
    <x v="331"/>
    <d v="2025-05-03T00:00:00"/>
    <x v="0"/>
    <x v="0"/>
    <s v="Mobile"/>
    <s v="Organic"/>
    <s v="Basic"/>
    <n v="1"/>
    <n v="0"/>
    <n v="0"/>
    <n v="0"/>
    <n v="0"/>
    <n v="0"/>
    <n v="0"/>
    <n v="0"/>
    <n v="72.400000000000006"/>
  </r>
  <r>
    <x v="332"/>
    <d v="2025-03-10T00:00:00"/>
    <x v="0"/>
    <x v="2"/>
    <s v="Mobile"/>
    <s v="Organic"/>
    <s v="Basic"/>
    <n v="0"/>
    <n v="0"/>
    <n v="0"/>
    <n v="0"/>
    <n v="0"/>
    <n v="0"/>
    <n v="0"/>
    <n v="0"/>
    <n v="63.3"/>
  </r>
  <r>
    <x v="333"/>
    <d v="2025-01-10T00:00:00"/>
    <x v="0"/>
    <x v="1"/>
    <s v="Tablet"/>
    <s v="Social"/>
    <s v="Free"/>
    <n v="1"/>
    <n v="0"/>
    <n v="0"/>
    <n v="0"/>
    <n v="0"/>
    <n v="0"/>
    <n v="0"/>
    <n v="0"/>
    <n v="30.8"/>
  </r>
  <r>
    <x v="334"/>
    <d v="2025-01-16T00:00:00"/>
    <x v="0"/>
    <x v="3"/>
    <s v="Mobile"/>
    <s v="Email"/>
    <s v="Basic"/>
    <n v="1"/>
    <n v="1"/>
    <n v="1"/>
    <n v="1"/>
    <n v="874.55"/>
    <n v="0"/>
    <n v="0"/>
    <n v="9"/>
    <n v="44.2"/>
  </r>
  <r>
    <x v="335"/>
    <d v="2025-02-11T00:00:00"/>
    <x v="0"/>
    <x v="3"/>
    <s v="Desktop"/>
    <s v="Organic"/>
    <s v="Premium"/>
    <n v="1"/>
    <n v="1"/>
    <n v="1"/>
    <n v="1"/>
    <n v="2206.88"/>
    <n v="0"/>
    <n v="0"/>
    <n v="10"/>
    <n v="56.2"/>
  </r>
  <r>
    <x v="336"/>
    <d v="2025-04-13T00:00:00"/>
    <x v="0"/>
    <x v="1"/>
    <s v="Mobile"/>
    <s v="Organic"/>
    <s v="Free"/>
    <n v="0"/>
    <n v="0"/>
    <n v="0"/>
    <n v="0"/>
    <n v="0"/>
    <n v="0"/>
    <n v="0"/>
    <n v="0"/>
    <n v="40.4"/>
  </r>
  <r>
    <x v="337"/>
    <d v="2025-02-08T00:00:00"/>
    <x v="0"/>
    <x v="2"/>
    <s v="Mobile"/>
    <s v="Paid Search"/>
    <s v="Free"/>
    <n v="1"/>
    <n v="1"/>
    <n v="1"/>
    <n v="0"/>
    <n v="0"/>
    <n v="0"/>
    <n v="0"/>
    <n v="0"/>
    <n v="68.099999999999994"/>
  </r>
  <r>
    <x v="338"/>
    <d v="2025-03-31T00:00:00"/>
    <x v="0"/>
    <x v="1"/>
    <s v="Desktop"/>
    <s v="Referral"/>
    <s v="Free"/>
    <n v="1"/>
    <n v="0"/>
    <n v="0"/>
    <n v="0"/>
    <n v="0"/>
    <n v="0"/>
    <n v="0"/>
    <n v="0"/>
    <n v="86.3"/>
  </r>
  <r>
    <x v="339"/>
    <d v="2025-01-31T00:00:00"/>
    <x v="0"/>
    <x v="1"/>
    <s v="Desktop"/>
    <s v="Referral"/>
    <s v="Free"/>
    <n v="1"/>
    <n v="1"/>
    <n v="0"/>
    <n v="0"/>
    <n v="0"/>
    <n v="0"/>
    <n v="0"/>
    <n v="0"/>
    <n v="42.9"/>
  </r>
  <r>
    <x v="340"/>
    <d v="2025-05-08T00:00:00"/>
    <x v="0"/>
    <x v="1"/>
    <s v="Tablet"/>
    <s v="Organic"/>
    <s v="Free"/>
    <n v="0"/>
    <n v="0"/>
    <n v="0"/>
    <n v="0"/>
    <n v="0"/>
    <n v="0"/>
    <n v="0"/>
    <n v="0"/>
    <n v="61.4"/>
  </r>
  <r>
    <x v="341"/>
    <d v="2025-03-15T00:00:00"/>
    <x v="0"/>
    <x v="0"/>
    <s v="Mobile"/>
    <s v="Paid Search"/>
    <s v="Free"/>
    <n v="1"/>
    <n v="0"/>
    <n v="0"/>
    <n v="0"/>
    <n v="0"/>
    <n v="1"/>
    <n v="0"/>
    <n v="0"/>
    <n v="73.3"/>
  </r>
  <r>
    <x v="342"/>
    <d v="2025-01-13T00:00:00"/>
    <x v="0"/>
    <x v="3"/>
    <s v="Mobile"/>
    <s v="Referral"/>
    <s v="Basic"/>
    <n v="1"/>
    <n v="0"/>
    <n v="0"/>
    <n v="0"/>
    <n v="0"/>
    <n v="0"/>
    <n v="0"/>
    <n v="0"/>
    <n v="59.4"/>
  </r>
  <r>
    <x v="343"/>
    <d v="2025-03-07T00:00:00"/>
    <x v="0"/>
    <x v="3"/>
    <s v="Tablet"/>
    <s v="Organic"/>
    <s v="Basic"/>
    <n v="1"/>
    <n v="0"/>
    <n v="0"/>
    <n v="0"/>
    <n v="0"/>
    <n v="0"/>
    <n v="0"/>
    <n v="0"/>
    <n v="35.200000000000003"/>
  </r>
  <r>
    <x v="344"/>
    <d v="2025-02-10T00:00:00"/>
    <x v="0"/>
    <x v="3"/>
    <s v="Mobile"/>
    <s v="Social"/>
    <s v="Premium"/>
    <n v="1"/>
    <n v="1"/>
    <n v="0"/>
    <n v="0"/>
    <n v="0"/>
    <n v="0"/>
    <n v="0"/>
    <n v="0"/>
    <n v="55.3"/>
  </r>
  <r>
    <x v="345"/>
    <d v="2025-03-12T00:00:00"/>
    <x v="0"/>
    <x v="2"/>
    <s v="Mobile"/>
    <s v="Paid Search"/>
    <s v="Free"/>
    <n v="0"/>
    <n v="0"/>
    <n v="0"/>
    <n v="0"/>
    <n v="0"/>
    <n v="0"/>
    <n v="0"/>
    <n v="0"/>
    <n v="37.5"/>
  </r>
  <r>
    <x v="346"/>
    <d v="2025-01-03T00:00:00"/>
    <x v="0"/>
    <x v="3"/>
    <s v="Desktop"/>
    <s v="Paid Search"/>
    <s v="Free"/>
    <n v="0"/>
    <n v="0"/>
    <n v="0"/>
    <n v="0"/>
    <n v="0"/>
    <n v="1"/>
    <n v="0"/>
    <n v="0"/>
    <n v="66.400000000000006"/>
  </r>
  <r>
    <x v="347"/>
    <d v="2025-04-28T00:00:00"/>
    <x v="0"/>
    <x v="0"/>
    <s v="Tablet"/>
    <s v="Social"/>
    <s v="Basic"/>
    <n v="1"/>
    <n v="0"/>
    <n v="0"/>
    <n v="0"/>
    <n v="0"/>
    <n v="0"/>
    <n v="0"/>
    <n v="0"/>
    <n v="61.9"/>
  </r>
  <r>
    <x v="348"/>
    <d v="2025-04-17T00:00:00"/>
    <x v="0"/>
    <x v="2"/>
    <s v="Mobile"/>
    <s v="Organic"/>
    <s v="Free"/>
    <n v="0"/>
    <n v="0"/>
    <n v="0"/>
    <n v="0"/>
    <n v="0"/>
    <n v="0"/>
    <n v="0"/>
    <n v="0"/>
    <n v="56"/>
  </r>
  <r>
    <x v="349"/>
    <d v="2025-05-23T00:00:00"/>
    <x v="0"/>
    <x v="3"/>
    <s v="Desktop"/>
    <s v="Social"/>
    <s v="Basic"/>
    <n v="1"/>
    <n v="0"/>
    <n v="0"/>
    <n v="0"/>
    <n v="0"/>
    <n v="0"/>
    <n v="0"/>
    <n v="0"/>
    <n v="55.5"/>
  </r>
  <r>
    <x v="350"/>
    <d v="2025-02-19T00:00:00"/>
    <x v="0"/>
    <x v="1"/>
    <s v="Tablet"/>
    <s v="Referral"/>
    <s v="Basic"/>
    <n v="1"/>
    <n v="0"/>
    <n v="0"/>
    <n v="0"/>
    <n v="0"/>
    <n v="0"/>
    <n v="0"/>
    <n v="0"/>
    <n v="37.200000000000003"/>
  </r>
  <r>
    <x v="351"/>
    <d v="2025-01-18T00:00:00"/>
    <x v="0"/>
    <x v="3"/>
    <s v="Desktop"/>
    <s v="Organic"/>
    <s v="Free"/>
    <n v="1"/>
    <n v="1"/>
    <n v="0"/>
    <n v="0"/>
    <n v="0"/>
    <n v="1"/>
    <n v="0"/>
    <n v="0"/>
    <n v="70.5"/>
  </r>
  <r>
    <x v="352"/>
    <d v="2025-04-17T00:00:00"/>
    <x v="0"/>
    <x v="0"/>
    <s v="Mobile"/>
    <s v="Organic"/>
    <s v="Free"/>
    <n v="0"/>
    <n v="0"/>
    <n v="0"/>
    <n v="0"/>
    <n v="0"/>
    <n v="0"/>
    <n v="0"/>
    <n v="0"/>
    <n v="61.2"/>
  </r>
  <r>
    <x v="353"/>
    <d v="2025-04-12T00:00:00"/>
    <x v="0"/>
    <x v="2"/>
    <s v="Tablet"/>
    <s v="Social"/>
    <s v="Free"/>
    <n v="1"/>
    <n v="1"/>
    <n v="1"/>
    <n v="0"/>
    <n v="0"/>
    <n v="0"/>
    <n v="0"/>
    <n v="0"/>
    <n v="64.599999999999994"/>
  </r>
  <r>
    <x v="354"/>
    <d v="2025-05-16T00:00:00"/>
    <x v="0"/>
    <x v="2"/>
    <s v="Mobile"/>
    <s v="Email"/>
    <s v="Free"/>
    <n v="1"/>
    <n v="1"/>
    <n v="0"/>
    <n v="0"/>
    <n v="0"/>
    <n v="0"/>
    <n v="0"/>
    <n v="0"/>
    <n v="91.7"/>
  </r>
  <r>
    <x v="355"/>
    <d v="2025-03-24T00:00:00"/>
    <x v="0"/>
    <x v="1"/>
    <s v="Mobile"/>
    <s v="Social"/>
    <s v="Free"/>
    <n v="0"/>
    <n v="0"/>
    <n v="0"/>
    <n v="0"/>
    <n v="0"/>
    <n v="0"/>
    <n v="0"/>
    <n v="0"/>
    <n v="46"/>
  </r>
  <r>
    <x v="356"/>
    <d v="2025-02-16T00:00:00"/>
    <x v="0"/>
    <x v="1"/>
    <s v="Mobile"/>
    <s v="Organic"/>
    <s v="Basic"/>
    <n v="0"/>
    <n v="0"/>
    <n v="0"/>
    <n v="0"/>
    <n v="0"/>
    <n v="0"/>
    <n v="0"/>
    <n v="0"/>
    <n v="50.8"/>
  </r>
  <r>
    <x v="357"/>
    <d v="2025-03-19T00:00:00"/>
    <x v="0"/>
    <x v="0"/>
    <s v="Tablet"/>
    <s v="Organic"/>
    <s v="Free"/>
    <n v="1"/>
    <n v="1"/>
    <n v="1"/>
    <n v="0"/>
    <n v="0"/>
    <n v="0"/>
    <n v="0"/>
    <n v="0"/>
    <n v="52.8"/>
  </r>
  <r>
    <x v="358"/>
    <d v="2025-04-21T00:00:00"/>
    <x v="0"/>
    <x v="3"/>
    <s v="Mobile"/>
    <s v="Organic"/>
    <s v="Basic"/>
    <n v="1"/>
    <n v="1"/>
    <n v="1"/>
    <n v="0"/>
    <n v="0"/>
    <n v="0"/>
    <n v="0"/>
    <n v="0"/>
    <n v="63"/>
  </r>
  <r>
    <x v="359"/>
    <d v="2025-01-11T00:00:00"/>
    <x v="0"/>
    <x v="1"/>
    <s v="Mobile"/>
    <s v="Organic"/>
    <s v="Free"/>
    <n v="0"/>
    <n v="0"/>
    <n v="0"/>
    <n v="0"/>
    <n v="0"/>
    <n v="0"/>
    <n v="0"/>
    <n v="0"/>
    <n v="28.4"/>
  </r>
  <r>
    <x v="360"/>
    <d v="2025-04-24T00:00:00"/>
    <x v="0"/>
    <x v="1"/>
    <s v="Desktop"/>
    <s v="Organic"/>
    <s v="Free"/>
    <n v="1"/>
    <n v="1"/>
    <n v="0"/>
    <n v="0"/>
    <n v="0"/>
    <n v="0"/>
    <n v="0"/>
    <n v="0"/>
    <n v="65.599999999999994"/>
  </r>
  <r>
    <x v="361"/>
    <d v="2025-03-13T00:00:00"/>
    <x v="0"/>
    <x v="0"/>
    <s v="Mobile"/>
    <s v="Social"/>
    <s v="Premium"/>
    <n v="1"/>
    <n v="1"/>
    <n v="1"/>
    <n v="0"/>
    <n v="0"/>
    <n v="0"/>
    <n v="0"/>
    <n v="0"/>
    <n v="54.7"/>
  </r>
  <r>
    <x v="362"/>
    <d v="2025-01-30T00:00:00"/>
    <x v="0"/>
    <x v="0"/>
    <s v="Mobile"/>
    <s v="Social"/>
    <s v="Basic"/>
    <n v="0"/>
    <n v="0"/>
    <n v="0"/>
    <n v="0"/>
    <n v="0"/>
    <n v="0"/>
    <n v="0"/>
    <n v="0"/>
    <n v="36.1"/>
  </r>
  <r>
    <x v="363"/>
    <d v="2025-05-08T00:00:00"/>
    <x v="0"/>
    <x v="3"/>
    <s v="Mobile"/>
    <s v="Social"/>
    <s v="Basic"/>
    <n v="1"/>
    <n v="1"/>
    <n v="1"/>
    <n v="0"/>
    <n v="0"/>
    <n v="0"/>
    <n v="0"/>
    <n v="0"/>
    <n v="70.400000000000006"/>
  </r>
  <r>
    <x v="364"/>
    <d v="2025-01-08T00:00:00"/>
    <x v="0"/>
    <x v="2"/>
    <s v="Desktop"/>
    <s v="Social"/>
    <s v="Free"/>
    <n v="1"/>
    <n v="0"/>
    <n v="0"/>
    <n v="0"/>
    <n v="0"/>
    <n v="0"/>
    <n v="0"/>
    <n v="0"/>
    <n v="56.4"/>
  </r>
  <r>
    <x v="365"/>
    <d v="2025-05-03T00:00:00"/>
    <x v="0"/>
    <x v="3"/>
    <s v="Mobile"/>
    <s v="Organic"/>
    <s v="Free"/>
    <n v="1"/>
    <n v="0"/>
    <n v="0"/>
    <n v="0"/>
    <n v="0"/>
    <n v="0"/>
    <n v="0"/>
    <n v="0"/>
    <n v="79.2"/>
  </r>
  <r>
    <x v="366"/>
    <d v="2025-02-12T00:00:00"/>
    <x v="0"/>
    <x v="2"/>
    <s v="Mobile"/>
    <s v="Paid Search"/>
    <s v="Free"/>
    <n v="1"/>
    <n v="1"/>
    <n v="1"/>
    <n v="0"/>
    <n v="0"/>
    <n v="0"/>
    <n v="0"/>
    <n v="0"/>
    <n v="60.1"/>
  </r>
  <r>
    <x v="367"/>
    <d v="2025-02-25T00:00:00"/>
    <x v="0"/>
    <x v="3"/>
    <s v="Tablet"/>
    <s v="Organic"/>
    <s v="Free"/>
    <n v="0"/>
    <n v="0"/>
    <n v="0"/>
    <n v="0"/>
    <n v="0"/>
    <n v="0"/>
    <n v="0"/>
    <n v="0"/>
    <n v="58"/>
  </r>
  <r>
    <x v="368"/>
    <d v="2025-04-14T00:00:00"/>
    <x v="0"/>
    <x v="3"/>
    <s v="Mobile"/>
    <s v="Referral"/>
    <s v="Free"/>
    <n v="1"/>
    <n v="1"/>
    <n v="1"/>
    <n v="0"/>
    <n v="0"/>
    <n v="0"/>
    <n v="0"/>
    <n v="0"/>
    <n v="69"/>
  </r>
  <r>
    <x v="369"/>
    <d v="2025-01-08T00:00:00"/>
    <x v="0"/>
    <x v="0"/>
    <s v="Mobile"/>
    <s v="Referral"/>
    <s v="Premium"/>
    <n v="1"/>
    <n v="1"/>
    <n v="1"/>
    <n v="0"/>
    <n v="0"/>
    <n v="1"/>
    <n v="0"/>
    <n v="0"/>
    <n v="80.8"/>
  </r>
  <r>
    <x v="370"/>
    <d v="2025-03-14T00:00:00"/>
    <x v="0"/>
    <x v="2"/>
    <s v="Mobile"/>
    <s v="Email"/>
    <s v="Free"/>
    <n v="0"/>
    <n v="0"/>
    <n v="0"/>
    <n v="0"/>
    <n v="0"/>
    <n v="0"/>
    <n v="0"/>
    <n v="0"/>
    <n v="32.799999999999997"/>
  </r>
  <r>
    <x v="371"/>
    <d v="2025-04-29T00:00:00"/>
    <x v="0"/>
    <x v="0"/>
    <s v="Desktop"/>
    <s v="Paid Search"/>
    <s v="Premium"/>
    <n v="1"/>
    <n v="0"/>
    <n v="0"/>
    <n v="0"/>
    <n v="0"/>
    <n v="0"/>
    <n v="0"/>
    <n v="0"/>
    <n v="56"/>
  </r>
  <r>
    <x v="372"/>
    <d v="2025-05-01T00:00:00"/>
    <x v="0"/>
    <x v="2"/>
    <s v="Desktop"/>
    <s v="Social"/>
    <s v="Free"/>
    <n v="1"/>
    <n v="0"/>
    <n v="0"/>
    <n v="0"/>
    <n v="0"/>
    <n v="0"/>
    <n v="0"/>
    <n v="0"/>
    <n v="76.400000000000006"/>
  </r>
  <r>
    <x v="373"/>
    <d v="2025-03-19T00:00:00"/>
    <x v="0"/>
    <x v="0"/>
    <s v="Mobile"/>
    <s v="Referral"/>
    <s v="Free"/>
    <n v="1"/>
    <n v="0"/>
    <n v="0"/>
    <n v="0"/>
    <n v="0"/>
    <n v="0"/>
    <n v="0"/>
    <n v="0"/>
    <n v="28.5"/>
  </r>
  <r>
    <x v="374"/>
    <d v="2025-05-01T00:00:00"/>
    <x v="0"/>
    <x v="3"/>
    <s v="Desktop"/>
    <s v="Social"/>
    <s v="Basic"/>
    <n v="1"/>
    <n v="1"/>
    <n v="1"/>
    <n v="0"/>
    <n v="0"/>
    <n v="0"/>
    <n v="0"/>
    <n v="0"/>
    <n v="48.3"/>
  </r>
  <r>
    <x v="375"/>
    <d v="2025-03-14T00:00:00"/>
    <x v="0"/>
    <x v="1"/>
    <s v="Mobile"/>
    <s v="Organic"/>
    <s v="Free"/>
    <n v="1"/>
    <n v="1"/>
    <n v="0"/>
    <n v="0"/>
    <n v="0"/>
    <n v="0"/>
    <n v="0"/>
    <n v="0"/>
    <n v="43.4"/>
  </r>
  <r>
    <x v="376"/>
    <d v="2025-03-23T00:00:00"/>
    <x v="0"/>
    <x v="0"/>
    <s v="Mobile"/>
    <s v="Paid Search"/>
    <s v="Free"/>
    <n v="0"/>
    <n v="0"/>
    <n v="0"/>
    <n v="0"/>
    <n v="0"/>
    <n v="0"/>
    <n v="0"/>
    <n v="0"/>
    <n v="43"/>
  </r>
  <r>
    <x v="377"/>
    <d v="2025-02-08T00:00:00"/>
    <x v="0"/>
    <x v="2"/>
    <s v="Mobile"/>
    <s v="Referral"/>
    <s v="Basic"/>
    <n v="1"/>
    <n v="1"/>
    <n v="1"/>
    <n v="0"/>
    <n v="0"/>
    <n v="0"/>
    <n v="0"/>
    <n v="0"/>
    <n v="91.8"/>
  </r>
  <r>
    <x v="378"/>
    <d v="2025-04-15T00:00:00"/>
    <x v="0"/>
    <x v="1"/>
    <s v="Tablet"/>
    <s v="Paid Search"/>
    <s v="Basic"/>
    <n v="1"/>
    <n v="0"/>
    <n v="0"/>
    <n v="0"/>
    <n v="0"/>
    <n v="1"/>
    <n v="0"/>
    <n v="0"/>
    <n v="69.3"/>
  </r>
  <r>
    <x v="379"/>
    <d v="2025-01-03T00:00:00"/>
    <x v="0"/>
    <x v="3"/>
    <s v="Desktop"/>
    <s v="Paid Search"/>
    <s v="Basic"/>
    <n v="1"/>
    <n v="0"/>
    <n v="0"/>
    <n v="0"/>
    <n v="0"/>
    <n v="0"/>
    <n v="0"/>
    <n v="0"/>
    <n v="58.9"/>
  </r>
  <r>
    <x v="380"/>
    <d v="2025-03-23T00:00:00"/>
    <x v="0"/>
    <x v="1"/>
    <s v="Mobile"/>
    <s v="Social"/>
    <s v="Free"/>
    <n v="1"/>
    <n v="1"/>
    <n v="1"/>
    <n v="0"/>
    <n v="0"/>
    <n v="0"/>
    <n v="0"/>
    <n v="0"/>
    <n v="76"/>
  </r>
  <r>
    <x v="381"/>
    <d v="2025-05-27T00:00:00"/>
    <x v="0"/>
    <x v="3"/>
    <s v="Mobile"/>
    <s v="Referral"/>
    <s v="Premium"/>
    <n v="1"/>
    <n v="0"/>
    <n v="0"/>
    <n v="0"/>
    <n v="0"/>
    <n v="0"/>
    <n v="0"/>
    <n v="0"/>
    <n v="46"/>
  </r>
  <r>
    <x v="382"/>
    <d v="2025-04-30T00:00:00"/>
    <x v="0"/>
    <x v="2"/>
    <s v="Mobile"/>
    <s v="Organic"/>
    <s v="Free"/>
    <n v="1"/>
    <n v="0"/>
    <n v="0"/>
    <n v="0"/>
    <n v="0"/>
    <n v="0"/>
    <n v="0"/>
    <n v="0"/>
    <n v="54.1"/>
  </r>
  <r>
    <x v="383"/>
    <d v="2025-03-07T00:00:00"/>
    <x v="0"/>
    <x v="1"/>
    <s v="Mobile"/>
    <s v="Social"/>
    <s v="Basic"/>
    <n v="1"/>
    <n v="0"/>
    <n v="0"/>
    <n v="0"/>
    <n v="0"/>
    <n v="0"/>
    <n v="0"/>
    <n v="0"/>
    <n v="82.4"/>
  </r>
  <r>
    <x v="384"/>
    <d v="2025-05-10T00:00:00"/>
    <x v="0"/>
    <x v="3"/>
    <s v="Mobile"/>
    <s v="Organic"/>
    <s v="Basic"/>
    <n v="1"/>
    <n v="1"/>
    <n v="1"/>
    <n v="0"/>
    <n v="0"/>
    <n v="0"/>
    <n v="0"/>
    <n v="0"/>
    <n v="71.900000000000006"/>
  </r>
  <r>
    <x v="385"/>
    <d v="2025-05-22T00:00:00"/>
    <x v="0"/>
    <x v="2"/>
    <s v="Mobile"/>
    <s v="Organic"/>
    <s v="Free"/>
    <n v="0"/>
    <n v="0"/>
    <n v="0"/>
    <n v="0"/>
    <n v="0"/>
    <n v="2"/>
    <n v="0"/>
    <n v="0"/>
    <n v="38"/>
  </r>
  <r>
    <x v="386"/>
    <d v="2025-02-09T00:00:00"/>
    <x v="0"/>
    <x v="2"/>
    <s v="Mobile"/>
    <s v="Paid Search"/>
    <s v="Free"/>
    <n v="1"/>
    <n v="1"/>
    <n v="0"/>
    <n v="0"/>
    <n v="0"/>
    <n v="0"/>
    <n v="0"/>
    <n v="0"/>
    <n v="43.7"/>
  </r>
  <r>
    <x v="387"/>
    <d v="2025-05-30T00:00:00"/>
    <x v="0"/>
    <x v="1"/>
    <s v="Desktop"/>
    <s v="Organic"/>
    <s v="Premium"/>
    <n v="1"/>
    <n v="0"/>
    <n v="0"/>
    <n v="0"/>
    <n v="0"/>
    <n v="1"/>
    <n v="0"/>
    <n v="0"/>
    <n v="32.200000000000003"/>
  </r>
  <r>
    <x v="388"/>
    <d v="2025-05-01T00:00:00"/>
    <x v="0"/>
    <x v="3"/>
    <s v="Mobile"/>
    <s v="Organic"/>
    <s v="Premium"/>
    <n v="1"/>
    <n v="0"/>
    <n v="0"/>
    <n v="0"/>
    <n v="0"/>
    <n v="0"/>
    <n v="0"/>
    <n v="0"/>
    <n v="61"/>
  </r>
  <r>
    <x v="389"/>
    <d v="2025-01-03T00:00:00"/>
    <x v="0"/>
    <x v="3"/>
    <s v="Mobile"/>
    <s v="Paid Search"/>
    <s v="Free"/>
    <n v="1"/>
    <n v="0"/>
    <n v="0"/>
    <n v="0"/>
    <n v="0"/>
    <n v="0"/>
    <n v="0"/>
    <n v="0"/>
    <n v="49"/>
  </r>
  <r>
    <x v="390"/>
    <d v="2025-02-13T00:00:00"/>
    <x v="0"/>
    <x v="2"/>
    <s v="Mobile"/>
    <s v="Organic"/>
    <s v="Free"/>
    <n v="0"/>
    <n v="0"/>
    <n v="0"/>
    <n v="0"/>
    <n v="0"/>
    <n v="0"/>
    <n v="0"/>
    <n v="0"/>
    <n v="48.1"/>
  </r>
  <r>
    <x v="391"/>
    <d v="2025-01-14T00:00:00"/>
    <x v="0"/>
    <x v="3"/>
    <s v="Desktop"/>
    <s v="Organic"/>
    <s v="Free"/>
    <n v="0"/>
    <n v="0"/>
    <n v="0"/>
    <n v="0"/>
    <n v="0"/>
    <n v="2"/>
    <n v="0"/>
    <n v="0"/>
    <n v="46.3"/>
  </r>
  <r>
    <x v="392"/>
    <d v="2025-02-24T00:00:00"/>
    <x v="0"/>
    <x v="0"/>
    <s v="Mobile"/>
    <s v="Referral"/>
    <s v="Free"/>
    <n v="0"/>
    <n v="0"/>
    <n v="0"/>
    <n v="0"/>
    <n v="0"/>
    <n v="0"/>
    <n v="0"/>
    <n v="0"/>
    <n v="64"/>
  </r>
  <r>
    <x v="393"/>
    <d v="2025-05-16T00:00:00"/>
    <x v="0"/>
    <x v="1"/>
    <s v="Desktop"/>
    <s v="Organic"/>
    <s v="Basic"/>
    <n v="1"/>
    <n v="1"/>
    <n v="0"/>
    <n v="0"/>
    <n v="0"/>
    <n v="0"/>
    <n v="0"/>
    <n v="0"/>
    <n v="56.2"/>
  </r>
  <r>
    <x v="394"/>
    <d v="2025-04-29T00:00:00"/>
    <x v="0"/>
    <x v="0"/>
    <s v="Mobile"/>
    <s v="Paid Search"/>
    <s v="Free"/>
    <n v="1"/>
    <n v="1"/>
    <n v="1"/>
    <n v="0"/>
    <n v="0"/>
    <n v="0"/>
    <n v="0"/>
    <n v="0"/>
    <n v="77.5"/>
  </r>
  <r>
    <x v="395"/>
    <d v="2025-04-30T00:00:00"/>
    <x v="0"/>
    <x v="3"/>
    <s v="Desktop"/>
    <s v="Email"/>
    <s v="Basic"/>
    <n v="1"/>
    <n v="0"/>
    <n v="0"/>
    <n v="0"/>
    <n v="0"/>
    <n v="0"/>
    <n v="0"/>
    <n v="0"/>
    <n v="59.9"/>
  </r>
  <r>
    <x v="396"/>
    <d v="2025-01-09T00:00:00"/>
    <x v="0"/>
    <x v="3"/>
    <s v="Desktop"/>
    <s v="Organic"/>
    <s v="Free"/>
    <n v="1"/>
    <n v="1"/>
    <n v="0"/>
    <n v="0"/>
    <n v="0"/>
    <n v="0"/>
    <n v="0"/>
    <n v="0"/>
    <n v="63"/>
  </r>
  <r>
    <x v="397"/>
    <d v="2025-04-25T00:00:00"/>
    <x v="0"/>
    <x v="3"/>
    <s v="Mobile"/>
    <s v="Organic"/>
    <s v="Free"/>
    <n v="1"/>
    <n v="1"/>
    <n v="0"/>
    <n v="0"/>
    <n v="0"/>
    <n v="0"/>
    <n v="0"/>
    <n v="0"/>
    <n v="76.5"/>
  </r>
  <r>
    <x v="398"/>
    <d v="2025-03-12T00:00:00"/>
    <x v="0"/>
    <x v="0"/>
    <s v="Desktop"/>
    <s v="Paid Search"/>
    <s v="Free"/>
    <n v="1"/>
    <n v="0"/>
    <n v="0"/>
    <n v="0"/>
    <n v="0"/>
    <n v="0"/>
    <n v="0"/>
    <n v="0"/>
    <n v="39.700000000000003"/>
  </r>
  <r>
    <x v="399"/>
    <d v="2025-03-20T00:00:00"/>
    <x v="0"/>
    <x v="0"/>
    <s v="Mobile"/>
    <s v="Organic"/>
    <s v="Free"/>
    <n v="1"/>
    <n v="1"/>
    <n v="0"/>
    <n v="0"/>
    <n v="0"/>
    <n v="0"/>
    <n v="0"/>
    <n v="0"/>
    <n v="80.2"/>
  </r>
  <r>
    <x v="400"/>
    <d v="2025-02-18T00:00:00"/>
    <x v="0"/>
    <x v="1"/>
    <s v="Mobile"/>
    <s v="Paid Search"/>
    <s v="Free"/>
    <n v="1"/>
    <n v="0"/>
    <n v="0"/>
    <n v="0"/>
    <n v="0"/>
    <n v="0"/>
    <n v="0"/>
    <n v="0"/>
    <n v="72.2"/>
  </r>
  <r>
    <x v="401"/>
    <d v="2025-01-22T00:00:00"/>
    <x v="0"/>
    <x v="0"/>
    <s v="Mobile"/>
    <s v="Social"/>
    <s v="Basic"/>
    <n v="0"/>
    <n v="0"/>
    <n v="0"/>
    <n v="0"/>
    <n v="0"/>
    <n v="0"/>
    <n v="0"/>
    <n v="0"/>
    <n v="56"/>
  </r>
  <r>
    <x v="402"/>
    <d v="2025-02-08T00:00:00"/>
    <x v="0"/>
    <x v="1"/>
    <s v="Mobile"/>
    <s v="Email"/>
    <s v="Basic"/>
    <n v="1"/>
    <n v="1"/>
    <n v="1"/>
    <n v="0"/>
    <n v="0"/>
    <n v="0"/>
    <n v="0"/>
    <n v="0"/>
    <n v="69.099999999999994"/>
  </r>
  <r>
    <x v="403"/>
    <d v="2025-01-20T00:00:00"/>
    <x v="0"/>
    <x v="0"/>
    <s v="Mobile"/>
    <s v="Email"/>
    <s v="Premium"/>
    <n v="0"/>
    <n v="0"/>
    <n v="0"/>
    <n v="0"/>
    <n v="0"/>
    <n v="1"/>
    <n v="0"/>
    <n v="0"/>
    <n v="70.599999999999994"/>
  </r>
  <r>
    <x v="404"/>
    <d v="2025-04-22T00:00:00"/>
    <x v="0"/>
    <x v="1"/>
    <s v="Desktop"/>
    <s v="Referral"/>
    <s v="Free"/>
    <n v="1"/>
    <n v="0"/>
    <n v="0"/>
    <n v="0"/>
    <n v="0"/>
    <n v="0"/>
    <n v="0"/>
    <n v="0"/>
    <n v="57.9"/>
  </r>
  <r>
    <x v="405"/>
    <d v="2025-01-22T00:00:00"/>
    <x v="0"/>
    <x v="2"/>
    <s v="Mobile"/>
    <s v="Organic"/>
    <s v="Basic"/>
    <n v="1"/>
    <n v="1"/>
    <n v="0"/>
    <n v="0"/>
    <n v="0"/>
    <n v="0"/>
    <n v="0"/>
    <n v="0"/>
    <n v="41.4"/>
  </r>
  <r>
    <x v="406"/>
    <d v="2025-05-11T00:00:00"/>
    <x v="0"/>
    <x v="1"/>
    <s v="Mobile"/>
    <s v="Organic"/>
    <s v="Basic"/>
    <n v="1"/>
    <n v="0"/>
    <n v="0"/>
    <n v="0"/>
    <n v="0"/>
    <n v="0"/>
    <n v="0"/>
    <n v="0"/>
    <n v="60.9"/>
  </r>
  <r>
    <x v="407"/>
    <d v="2025-02-06T00:00:00"/>
    <x v="0"/>
    <x v="3"/>
    <s v="Mobile"/>
    <s v="Organic"/>
    <s v="Basic"/>
    <n v="0"/>
    <n v="0"/>
    <n v="0"/>
    <n v="0"/>
    <n v="0"/>
    <n v="1"/>
    <n v="0"/>
    <n v="0"/>
    <n v="63.8"/>
  </r>
  <r>
    <x v="408"/>
    <d v="2025-02-21T00:00:00"/>
    <x v="0"/>
    <x v="0"/>
    <s v="Desktop"/>
    <s v="Organic"/>
    <s v="Premium"/>
    <n v="1"/>
    <n v="0"/>
    <n v="0"/>
    <n v="0"/>
    <n v="0"/>
    <n v="0"/>
    <n v="0"/>
    <n v="0"/>
    <n v="79.2"/>
  </r>
  <r>
    <x v="409"/>
    <d v="2025-01-13T00:00:00"/>
    <x v="0"/>
    <x v="1"/>
    <s v="Mobile"/>
    <s v="Email"/>
    <s v="Premium"/>
    <n v="1"/>
    <n v="1"/>
    <n v="1"/>
    <n v="0"/>
    <n v="0"/>
    <n v="0"/>
    <n v="0"/>
    <n v="0"/>
    <n v="53.3"/>
  </r>
  <r>
    <x v="410"/>
    <d v="2025-03-07T00:00:00"/>
    <x v="0"/>
    <x v="0"/>
    <s v="Mobile"/>
    <s v="Referral"/>
    <s v="Premium"/>
    <n v="1"/>
    <n v="1"/>
    <n v="1"/>
    <n v="1"/>
    <n v="2144.8200000000002"/>
    <n v="0"/>
    <n v="0"/>
    <n v="6"/>
    <n v="52.3"/>
  </r>
  <r>
    <x v="411"/>
    <d v="2025-02-26T00:00:00"/>
    <x v="0"/>
    <x v="1"/>
    <s v="Desktop"/>
    <s v="Organic"/>
    <s v="Basic"/>
    <n v="1"/>
    <n v="1"/>
    <n v="0"/>
    <n v="0"/>
    <n v="0"/>
    <n v="0"/>
    <n v="0"/>
    <n v="0"/>
    <n v="62.4"/>
  </r>
  <r>
    <x v="412"/>
    <d v="2025-05-05T00:00:00"/>
    <x v="0"/>
    <x v="0"/>
    <s v="Mobile"/>
    <s v="Referral"/>
    <s v="Premium"/>
    <n v="1"/>
    <n v="0"/>
    <n v="0"/>
    <n v="0"/>
    <n v="0"/>
    <n v="0"/>
    <n v="0"/>
    <n v="0"/>
    <n v="45.5"/>
  </r>
  <r>
    <x v="413"/>
    <d v="2025-01-08T00:00:00"/>
    <x v="0"/>
    <x v="2"/>
    <s v="Desktop"/>
    <s v="Organic"/>
    <s v="Basic"/>
    <n v="0"/>
    <n v="0"/>
    <n v="0"/>
    <n v="0"/>
    <n v="0"/>
    <n v="1"/>
    <n v="0"/>
    <n v="0"/>
    <n v="72.599999999999994"/>
  </r>
  <r>
    <x v="414"/>
    <d v="2025-03-19T00:00:00"/>
    <x v="0"/>
    <x v="3"/>
    <s v="Mobile"/>
    <s v="Email"/>
    <s v="Premium"/>
    <n v="1"/>
    <n v="1"/>
    <n v="1"/>
    <n v="0"/>
    <n v="0"/>
    <n v="0"/>
    <n v="0"/>
    <n v="0"/>
    <n v="50.1"/>
  </r>
  <r>
    <x v="415"/>
    <d v="2025-01-30T00:00:00"/>
    <x v="0"/>
    <x v="2"/>
    <s v="Desktop"/>
    <s v="Paid Search"/>
    <s v="Free"/>
    <n v="1"/>
    <n v="1"/>
    <n v="1"/>
    <n v="0"/>
    <n v="0"/>
    <n v="2"/>
    <n v="0"/>
    <n v="0"/>
    <n v="58.1"/>
  </r>
  <r>
    <x v="416"/>
    <d v="2025-04-28T00:00:00"/>
    <x v="0"/>
    <x v="2"/>
    <s v="Mobile"/>
    <s v="Organic"/>
    <s v="Basic"/>
    <n v="1"/>
    <n v="0"/>
    <n v="0"/>
    <n v="0"/>
    <n v="0"/>
    <n v="0"/>
    <n v="0"/>
    <n v="0"/>
    <n v="42.9"/>
  </r>
  <r>
    <x v="417"/>
    <d v="2025-03-07T00:00:00"/>
    <x v="0"/>
    <x v="0"/>
    <s v="Mobile"/>
    <s v="Referral"/>
    <s v="Basic"/>
    <n v="0"/>
    <n v="0"/>
    <n v="0"/>
    <n v="0"/>
    <n v="0"/>
    <n v="0"/>
    <n v="0"/>
    <n v="0"/>
    <n v="69.7"/>
  </r>
  <r>
    <x v="418"/>
    <d v="2025-04-07T00:00:00"/>
    <x v="0"/>
    <x v="0"/>
    <s v="Desktop"/>
    <s v="Organic"/>
    <s v="Free"/>
    <n v="0"/>
    <n v="0"/>
    <n v="0"/>
    <n v="0"/>
    <n v="0"/>
    <n v="0"/>
    <n v="0"/>
    <n v="0"/>
    <n v="63.3"/>
  </r>
  <r>
    <x v="419"/>
    <d v="2025-05-08T00:00:00"/>
    <x v="0"/>
    <x v="0"/>
    <s v="Desktop"/>
    <s v="Organic"/>
    <s v="Premium"/>
    <n v="1"/>
    <n v="0"/>
    <n v="0"/>
    <n v="0"/>
    <n v="0"/>
    <n v="0"/>
    <n v="0"/>
    <n v="0"/>
    <n v="71.2"/>
  </r>
  <r>
    <x v="420"/>
    <d v="2025-04-15T00:00:00"/>
    <x v="0"/>
    <x v="3"/>
    <s v="Mobile"/>
    <s v="Email"/>
    <s v="Free"/>
    <n v="1"/>
    <n v="0"/>
    <n v="0"/>
    <n v="0"/>
    <n v="0"/>
    <n v="0"/>
    <n v="0"/>
    <n v="0"/>
    <n v="39.1"/>
  </r>
  <r>
    <x v="421"/>
    <d v="2025-04-20T00:00:00"/>
    <x v="0"/>
    <x v="2"/>
    <s v="Desktop"/>
    <s v="Social"/>
    <s v="Free"/>
    <n v="1"/>
    <n v="0"/>
    <n v="0"/>
    <n v="0"/>
    <n v="0"/>
    <n v="0"/>
    <n v="0"/>
    <n v="0"/>
    <n v="42.6"/>
  </r>
  <r>
    <x v="422"/>
    <d v="2025-05-30T00:00:00"/>
    <x v="0"/>
    <x v="3"/>
    <s v="Tablet"/>
    <s v="Organic"/>
    <s v="Free"/>
    <n v="0"/>
    <n v="0"/>
    <n v="0"/>
    <n v="0"/>
    <n v="0"/>
    <n v="0"/>
    <n v="0"/>
    <n v="0"/>
    <n v="74.400000000000006"/>
  </r>
  <r>
    <x v="423"/>
    <d v="2025-02-13T00:00:00"/>
    <x v="0"/>
    <x v="1"/>
    <s v="Mobile"/>
    <s v="Referral"/>
    <s v="Free"/>
    <n v="0"/>
    <n v="0"/>
    <n v="0"/>
    <n v="0"/>
    <n v="0"/>
    <n v="0"/>
    <n v="0"/>
    <n v="0"/>
    <n v="55.6"/>
  </r>
  <r>
    <x v="424"/>
    <d v="2025-04-28T00:00:00"/>
    <x v="0"/>
    <x v="1"/>
    <s v="Mobile"/>
    <s v="Social"/>
    <s v="Free"/>
    <n v="1"/>
    <n v="0"/>
    <n v="0"/>
    <n v="0"/>
    <n v="0"/>
    <n v="0"/>
    <n v="0"/>
    <n v="0"/>
    <n v="35.799999999999997"/>
  </r>
  <r>
    <x v="425"/>
    <d v="2025-02-12T00:00:00"/>
    <x v="0"/>
    <x v="0"/>
    <s v="Mobile"/>
    <s v="Paid Search"/>
    <s v="Basic"/>
    <n v="1"/>
    <n v="0"/>
    <n v="0"/>
    <n v="0"/>
    <n v="0"/>
    <n v="1"/>
    <n v="0"/>
    <n v="0"/>
    <n v="28.2"/>
  </r>
  <r>
    <x v="426"/>
    <d v="2025-02-12T00:00:00"/>
    <x v="0"/>
    <x v="2"/>
    <s v="Mobile"/>
    <s v="Organic"/>
    <s v="Free"/>
    <n v="0"/>
    <n v="0"/>
    <n v="0"/>
    <n v="0"/>
    <n v="0"/>
    <n v="2"/>
    <n v="0"/>
    <n v="0"/>
    <n v="44.4"/>
  </r>
  <r>
    <x v="427"/>
    <d v="2025-03-27T00:00:00"/>
    <x v="0"/>
    <x v="0"/>
    <s v="Mobile"/>
    <s v="Email"/>
    <s v="Premium"/>
    <n v="1"/>
    <n v="0"/>
    <n v="0"/>
    <n v="0"/>
    <n v="0"/>
    <n v="0"/>
    <n v="0"/>
    <n v="0"/>
    <n v="49.9"/>
  </r>
  <r>
    <x v="428"/>
    <d v="2025-04-12T00:00:00"/>
    <x v="0"/>
    <x v="3"/>
    <s v="Desktop"/>
    <s v="Organic"/>
    <s v="Free"/>
    <n v="0"/>
    <n v="0"/>
    <n v="0"/>
    <n v="0"/>
    <n v="0"/>
    <n v="0"/>
    <n v="0"/>
    <n v="0"/>
    <n v="40.4"/>
  </r>
  <r>
    <x v="429"/>
    <d v="2025-01-30T00:00:00"/>
    <x v="0"/>
    <x v="1"/>
    <s v="Mobile"/>
    <s v="Social"/>
    <s v="Free"/>
    <n v="0"/>
    <n v="0"/>
    <n v="0"/>
    <n v="0"/>
    <n v="0"/>
    <n v="0"/>
    <n v="0"/>
    <n v="0"/>
    <n v="60.4"/>
  </r>
  <r>
    <x v="430"/>
    <d v="2025-05-28T00:00:00"/>
    <x v="0"/>
    <x v="1"/>
    <s v="Mobile"/>
    <s v="Social"/>
    <s v="Premium"/>
    <n v="0"/>
    <n v="0"/>
    <n v="0"/>
    <n v="0"/>
    <n v="0"/>
    <n v="1"/>
    <n v="0"/>
    <n v="0"/>
    <n v="52.4"/>
  </r>
  <r>
    <x v="431"/>
    <d v="2025-05-01T00:00:00"/>
    <x v="0"/>
    <x v="3"/>
    <s v="Mobile"/>
    <s v="Organic"/>
    <s v="Basic"/>
    <n v="1"/>
    <n v="1"/>
    <n v="0"/>
    <n v="0"/>
    <n v="0"/>
    <n v="0"/>
    <n v="0"/>
    <n v="0"/>
    <n v="48.8"/>
  </r>
  <r>
    <x v="432"/>
    <d v="2025-02-03T00:00:00"/>
    <x v="0"/>
    <x v="0"/>
    <s v="Tablet"/>
    <s v="Email"/>
    <s v="Basic"/>
    <n v="1"/>
    <n v="0"/>
    <n v="0"/>
    <n v="0"/>
    <n v="0"/>
    <n v="0"/>
    <n v="0"/>
    <n v="0"/>
    <n v="60.9"/>
  </r>
  <r>
    <x v="433"/>
    <d v="2025-01-10T00:00:00"/>
    <x v="0"/>
    <x v="3"/>
    <s v="Desktop"/>
    <s v="Social"/>
    <s v="Basic"/>
    <n v="0"/>
    <n v="0"/>
    <n v="0"/>
    <n v="0"/>
    <n v="0"/>
    <n v="0"/>
    <n v="0"/>
    <n v="0"/>
    <n v="68.2"/>
  </r>
  <r>
    <x v="434"/>
    <d v="2025-05-02T00:00:00"/>
    <x v="0"/>
    <x v="0"/>
    <s v="Desktop"/>
    <s v="Organic"/>
    <s v="Basic"/>
    <n v="1"/>
    <n v="0"/>
    <n v="0"/>
    <n v="0"/>
    <n v="0"/>
    <n v="0"/>
    <n v="0"/>
    <n v="0"/>
    <n v="65.599999999999994"/>
  </r>
  <r>
    <x v="435"/>
    <d v="2025-05-26T00:00:00"/>
    <x v="0"/>
    <x v="0"/>
    <s v="Desktop"/>
    <s v="Organic"/>
    <s v="Basic"/>
    <n v="1"/>
    <n v="0"/>
    <n v="0"/>
    <n v="0"/>
    <n v="0"/>
    <n v="0"/>
    <n v="0"/>
    <n v="0"/>
    <n v="65.400000000000006"/>
  </r>
  <r>
    <x v="436"/>
    <d v="2025-01-12T00:00:00"/>
    <x v="0"/>
    <x v="1"/>
    <s v="Mobile"/>
    <s v="Organic"/>
    <s v="Basic"/>
    <n v="1"/>
    <n v="0"/>
    <n v="0"/>
    <n v="0"/>
    <n v="0"/>
    <n v="0"/>
    <n v="0"/>
    <n v="0"/>
    <n v="78.900000000000006"/>
  </r>
  <r>
    <x v="437"/>
    <d v="2025-05-27T00:00:00"/>
    <x v="0"/>
    <x v="2"/>
    <s v="Mobile"/>
    <s v="Paid Search"/>
    <s v="Basic"/>
    <n v="1"/>
    <n v="1"/>
    <n v="1"/>
    <n v="0"/>
    <n v="0"/>
    <n v="0"/>
    <n v="0"/>
    <n v="0"/>
    <n v="78.3"/>
  </r>
  <r>
    <x v="438"/>
    <d v="2025-05-22T00:00:00"/>
    <x v="0"/>
    <x v="1"/>
    <s v="Desktop"/>
    <s v="Email"/>
    <s v="Basic"/>
    <n v="0"/>
    <n v="0"/>
    <n v="0"/>
    <n v="0"/>
    <n v="0"/>
    <n v="0"/>
    <n v="0"/>
    <n v="0"/>
    <n v="49.2"/>
  </r>
  <r>
    <x v="439"/>
    <d v="2025-04-01T00:00:00"/>
    <x v="0"/>
    <x v="2"/>
    <s v="Mobile"/>
    <s v="Social"/>
    <s v="Premium"/>
    <n v="1"/>
    <n v="1"/>
    <n v="1"/>
    <n v="1"/>
    <n v="1518.83"/>
    <n v="0"/>
    <n v="0"/>
    <n v="9"/>
    <n v="32.200000000000003"/>
  </r>
  <r>
    <x v="440"/>
    <d v="2025-01-22T00:00:00"/>
    <x v="0"/>
    <x v="0"/>
    <s v="Mobile"/>
    <s v="Paid Search"/>
    <s v="Basic"/>
    <n v="1"/>
    <n v="1"/>
    <n v="1"/>
    <n v="0"/>
    <n v="0"/>
    <n v="0"/>
    <n v="0"/>
    <n v="0"/>
    <n v="46.3"/>
  </r>
  <r>
    <x v="441"/>
    <d v="2025-05-24T00:00:00"/>
    <x v="0"/>
    <x v="2"/>
    <s v="Mobile"/>
    <s v="Paid Search"/>
    <s v="Basic"/>
    <n v="1"/>
    <n v="0"/>
    <n v="0"/>
    <n v="0"/>
    <n v="0"/>
    <n v="0"/>
    <n v="0"/>
    <n v="0"/>
    <n v="55.7"/>
  </r>
  <r>
    <x v="442"/>
    <d v="2025-04-25T00:00:00"/>
    <x v="0"/>
    <x v="3"/>
    <s v="Mobile"/>
    <s v="Social"/>
    <s v="Free"/>
    <n v="1"/>
    <n v="0"/>
    <n v="0"/>
    <n v="0"/>
    <n v="0"/>
    <n v="0"/>
    <n v="0"/>
    <n v="0"/>
    <n v="44.5"/>
  </r>
  <r>
    <x v="443"/>
    <d v="2025-04-12T00:00:00"/>
    <x v="0"/>
    <x v="1"/>
    <s v="Desktop"/>
    <s v="Referral"/>
    <s v="Free"/>
    <n v="1"/>
    <n v="1"/>
    <n v="1"/>
    <n v="0"/>
    <n v="0"/>
    <n v="1"/>
    <n v="0"/>
    <n v="0"/>
    <n v="47.9"/>
  </r>
  <r>
    <x v="444"/>
    <d v="2025-04-23T00:00:00"/>
    <x v="0"/>
    <x v="3"/>
    <s v="Mobile"/>
    <s v="Organic"/>
    <s v="Premium"/>
    <n v="1"/>
    <n v="0"/>
    <n v="0"/>
    <n v="0"/>
    <n v="0"/>
    <n v="0"/>
    <n v="0"/>
    <n v="0"/>
    <n v="43.9"/>
  </r>
  <r>
    <x v="445"/>
    <d v="2025-03-30T00:00:00"/>
    <x v="0"/>
    <x v="0"/>
    <s v="Desktop"/>
    <s v="Referral"/>
    <s v="Free"/>
    <n v="1"/>
    <n v="1"/>
    <n v="1"/>
    <n v="0"/>
    <n v="0"/>
    <n v="1"/>
    <n v="0"/>
    <n v="0"/>
    <n v="67.7"/>
  </r>
  <r>
    <x v="446"/>
    <d v="2025-01-18T00:00:00"/>
    <x v="0"/>
    <x v="2"/>
    <s v="Mobile"/>
    <s v="Referral"/>
    <s v="Basic"/>
    <n v="0"/>
    <n v="0"/>
    <n v="0"/>
    <n v="0"/>
    <n v="0"/>
    <n v="0"/>
    <n v="0"/>
    <n v="0"/>
    <n v="43.7"/>
  </r>
  <r>
    <x v="447"/>
    <d v="2025-04-09T00:00:00"/>
    <x v="0"/>
    <x v="2"/>
    <s v="Mobile"/>
    <s v="Organic"/>
    <s v="Free"/>
    <n v="1"/>
    <n v="0"/>
    <n v="0"/>
    <n v="0"/>
    <n v="0"/>
    <n v="0"/>
    <n v="0"/>
    <n v="0"/>
    <n v="68.8"/>
  </r>
  <r>
    <x v="448"/>
    <d v="2025-01-11T00:00:00"/>
    <x v="0"/>
    <x v="1"/>
    <s v="Mobile"/>
    <s v="Organic"/>
    <s v="Free"/>
    <n v="1"/>
    <n v="1"/>
    <n v="1"/>
    <n v="0"/>
    <n v="0"/>
    <n v="0"/>
    <n v="0"/>
    <n v="0"/>
    <n v="59.2"/>
  </r>
  <r>
    <x v="449"/>
    <d v="2025-03-05T00:00:00"/>
    <x v="0"/>
    <x v="2"/>
    <s v="Mobile"/>
    <s v="Paid Search"/>
    <s v="Free"/>
    <n v="1"/>
    <n v="0"/>
    <n v="0"/>
    <n v="0"/>
    <n v="0"/>
    <n v="0"/>
    <n v="0"/>
    <n v="0"/>
    <n v="48.6"/>
  </r>
  <r>
    <x v="450"/>
    <d v="2025-02-17T00:00:00"/>
    <x v="0"/>
    <x v="0"/>
    <s v="Tablet"/>
    <s v="Social"/>
    <s v="Free"/>
    <n v="1"/>
    <n v="1"/>
    <n v="1"/>
    <n v="0"/>
    <n v="0"/>
    <n v="0"/>
    <n v="0"/>
    <n v="0"/>
    <n v="56.9"/>
  </r>
  <r>
    <x v="451"/>
    <d v="2025-05-07T00:00:00"/>
    <x v="0"/>
    <x v="0"/>
    <s v="Desktop"/>
    <s v="Paid Search"/>
    <s v="Free"/>
    <n v="0"/>
    <n v="0"/>
    <n v="0"/>
    <n v="0"/>
    <n v="0"/>
    <n v="0"/>
    <n v="0"/>
    <n v="0"/>
    <n v="55.8"/>
  </r>
  <r>
    <x v="452"/>
    <d v="2025-04-10T00:00:00"/>
    <x v="0"/>
    <x v="2"/>
    <s v="Mobile"/>
    <s v="Paid Search"/>
    <s v="Premium"/>
    <n v="0"/>
    <n v="0"/>
    <n v="0"/>
    <n v="0"/>
    <n v="0"/>
    <n v="0"/>
    <n v="0"/>
    <n v="0"/>
    <n v="63.3"/>
  </r>
  <r>
    <x v="453"/>
    <d v="2025-04-21T00:00:00"/>
    <x v="0"/>
    <x v="0"/>
    <s v="Mobile"/>
    <s v="Social"/>
    <s v="Free"/>
    <n v="1"/>
    <n v="0"/>
    <n v="0"/>
    <n v="0"/>
    <n v="0"/>
    <n v="0"/>
    <n v="0"/>
    <n v="0"/>
    <n v="52.2"/>
  </r>
  <r>
    <x v="454"/>
    <d v="2025-02-25T00:00:00"/>
    <x v="0"/>
    <x v="3"/>
    <s v="Tablet"/>
    <s v="Unknown"/>
    <s v="Free"/>
    <n v="0"/>
    <n v="0"/>
    <n v="0"/>
    <n v="0"/>
    <n v="0"/>
    <n v="0"/>
    <n v="0"/>
    <n v="0"/>
    <n v="51.5"/>
  </r>
  <r>
    <x v="455"/>
    <d v="2025-05-14T00:00:00"/>
    <x v="0"/>
    <x v="2"/>
    <s v="Desktop"/>
    <s v="Organic"/>
    <s v="Free"/>
    <n v="0"/>
    <n v="0"/>
    <n v="0"/>
    <n v="0"/>
    <n v="0"/>
    <n v="0"/>
    <n v="0"/>
    <n v="0"/>
    <n v="50.3"/>
  </r>
  <r>
    <x v="456"/>
    <d v="2025-03-10T00:00:00"/>
    <x v="0"/>
    <x v="0"/>
    <s v="Mobile"/>
    <s v="Email"/>
    <s v="Basic"/>
    <n v="1"/>
    <n v="0"/>
    <n v="0"/>
    <n v="0"/>
    <n v="0"/>
    <n v="1"/>
    <n v="0"/>
    <n v="0"/>
    <n v="35.4"/>
  </r>
  <r>
    <x v="457"/>
    <d v="2025-01-31T00:00:00"/>
    <x v="0"/>
    <x v="1"/>
    <s v="Desktop"/>
    <s v="Organic"/>
    <s v="Premium"/>
    <n v="1"/>
    <n v="0"/>
    <n v="0"/>
    <n v="0"/>
    <n v="0"/>
    <n v="1"/>
    <n v="0"/>
    <n v="0"/>
    <n v="54.1"/>
  </r>
  <r>
    <x v="458"/>
    <d v="2025-01-17T00:00:00"/>
    <x v="0"/>
    <x v="3"/>
    <s v="Mobile"/>
    <s v="Organic"/>
    <s v="Premium"/>
    <n v="1"/>
    <n v="0"/>
    <n v="0"/>
    <n v="0"/>
    <n v="0"/>
    <n v="0"/>
    <n v="0"/>
    <n v="0"/>
    <n v="56.2"/>
  </r>
  <r>
    <x v="459"/>
    <d v="2025-03-12T00:00:00"/>
    <x v="0"/>
    <x v="3"/>
    <s v="Mobile"/>
    <s v="Paid Search"/>
    <s v="Free"/>
    <n v="0"/>
    <n v="0"/>
    <n v="0"/>
    <n v="0"/>
    <n v="0"/>
    <n v="3"/>
    <n v="0"/>
    <n v="0"/>
    <n v="43.7"/>
  </r>
  <r>
    <x v="460"/>
    <d v="2025-02-28T00:00:00"/>
    <x v="0"/>
    <x v="1"/>
    <s v="Desktop"/>
    <s v="Organic"/>
    <s v="Premium"/>
    <n v="1"/>
    <n v="1"/>
    <n v="0"/>
    <n v="0"/>
    <n v="0"/>
    <n v="0"/>
    <n v="0"/>
    <n v="0"/>
    <n v="51.3"/>
  </r>
  <r>
    <x v="461"/>
    <d v="2025-05-19T00:00:00"/>
    <x v="0"/>
    <x v="0"/>
    <s v="Unknown"/>
    <s v="Organic"/>
    <s v="Basic"/>
    <n v="1"/>
    <n v="0"/>
    <n v="0"/>
    <n v="0"/>
    <n v="0"/>
    <n v="0"/>
    <n v="0"/>
    <n v="0"/>
    <n v="50.5"/>
  </r>
  <r>
    <x v="462"/>
    <d v="2025-02-23T00:00:00"/>
    <x v="0"/>
    <x v="0"/>
    <s v="Mobile"/>
    <s v="Referral"/>
    <s v="Basic"/>
    <n v="1"/>
    <n v="0"/>
    <n v="0"/>
    <n v="0"/>
    <n v="0"/>
    <n v="0"/>
    <n v="0"/>
    <n v="0"/>
    <n v="57.3"/>
  </r>
  <r>
    <x v="463"/>
    <d v="2025-02-20T00:00:00"/>
    <x v="0"/>
    <x v="1"/>
    <s v="Desktop"/>
    <s v="Organic"/>
    <s v="Free"/>
    <n v="1"/>
    <n v="1"/>
    <n v="1"/>
    <n v="0"/>
    <n v="0"/>
    <n v="0"/>
    <n v="0"/>
    <n v="0"/>
    <n v="58.4"/>
  </r>
  <r>
    <x v="464"/>
    <d v="2025-04-12T00:00:00"/>
    <x v="0"/>
    <x v="0"/>
    <s v="Mobile"/>
    <s v="Unknown"/>
    <s v="Free"/>
    <n v="0"/>
    <n v="0"/>
    <n v="0"/>
    <n v="0"/>
    <n v="0"/>
    <n v="0"/>
    <n v="0"/>
    <n v="0"/>
    <n v="56.5"/>
  </r>
  <r>
    <x v="465"/>
    <d v="2025-01-08T00:00:00"/>
    <x v="0"/>
    <x v="1"/>
    <s v="Mobile"/>
    <s v="Email"/>
    <s v="Free"/>
    <n v="0"/>
    <n v="0"/>
    <n v="0"/>
    <n v="0"/>
    <n v="0"/>
    <n v="0"/>
    <n v="0"/>
    <n v="0"/>
    <n v="69.599999999999994"/>
  </r>
  <r>
    <x v="466"/>
    <d v="2025-02-13T00:00:00"/>
    <x v="0"/>
    <x v="1"/>
    <s v="Mobile"/>
    <s v="Organic"/>
    <s v="Basic"/>
    <n v="0"/>
    <n v="0"/>
    <n v="0"/>
    <n v="0"/>
    <n v="0"/>
    <n v="0"/>
    <n v="0"/>
    <n v="0"/>
    <n v="6.2"/>
  </r>
  <r>
    <x v="467"/>
    <d v="2025-05-21T00:00:00"/>
    <x v="0"/>
    <x v="2"/>
    <s v="Desktop"/>
    <s v="Email"/>
    <s v="Free"/>
    <n v="1"/>
    <n v="1"/>
    <n v="1"/>
    <n v="0"/>
    <n v="0"/>
    <n v="0"/>
    <n v="0"/>
    <n v="0"/>
    <n v="54.3"/>
  </r>
  <r>
    <x v="468"/>
    <d v="2025-05-30T00:00:00"/>
    <x v="0"/>
    <x v="0"/>
    <s v="Mobile"/>
    <s v="Organic"/>
    <s v="Basic"/>
    <n v="0"/>
    <n v="0"/>
    <n v="0"/>
    <n v="0"/>
    <n v="0"/>
    <n v="0"/>
    <n v="0"/>
    <n v="0"/>
    <n v="59.8"/>
  </r>
  <r>
    <x v="469"/>
    <d v="2025-05-20T00:00:00"/>
    <x v="0"/>
    <x v="1"/>
    <s v="Mobile"/>
    <s v="Paid Search"/>
    <s v="Free"/>
    <n v="0"/>
    <n v="0"/>
    <n v="0"/>
    <n v="0"/>
    <n v="0"/>
    <n v="0"/>
    <n v="0"/>
    <n v="0"/>
    <n v="58.9"/>
  </r>
  <r>
    <x v="470"/>
    <d v="2025-01-09T00:00:00"/>
    <x v="0"/>
    <x v="2"/>
    <s v="Desktop"/>
    <s v="Organic"/>
    <s v="Free"/>
    <n v="0"/>
    <n v="0"/>
    <n v="0"/>
    <n v="0"/>
    <n v="0"/>
    <n v="1"/>
    <n v="0"/>
    <n v="0"/>
    <n v="52.9"/>
  </r>
  <r>
    <x v="471"/>
    <d v="2025-03-07T00:00:00"/>
    <x v="0"/>
    <x v="1"/>
    <s v="Mobile"/>
    <s v="Organic"/>
    <s v="Free"/>
    <n v="0"/>
    <n v="0"/>
    <n v="0"/>
    <n v="0"/>
    <n v="0"/>
    <n v="0"/>
    <n v="0"/>
    <n v="0"/>
    <n v="67.8"/>
  </r>
  <r>
    <x v="472"/>
    <d v="2025-04-23T00:00:00"/>
    <x v="0"/>
    <x v="3"/>
    <s v="Mobile"/>
    <s v="Social"/>
    <s v="Free"/>
    <n v="0"/>
    <n v="0"/>
    <n v="0"/>
    <n v="0"/>
    <n v="0"/>
    <n v="0"/>
    <n v="0"/>
    <n v="0"/>
    <n v="48.7"/>
  </r>
  <r>
    <x v="473"/>
    <d v="2025-03-08T00:00:00"/>
    <x v="0"/>
    <x v="2"/>
    <s v="Mobile"/>
    <s v="Organic"/>
    <s v="Basic"/>
    <n v="0"/>
    <n v="0"/>
    <n v="0"/>
    <n v="0"/>
    <n v="0"/>
    <n v="0"/>
    <n v="0"/>
    <n v="0"/>
    <n v="59"/>
  </r>
  <r>
    <x v="474"/>
    <d v="2025-02-14T00:00:00"/>
    <x v="0"/>
    <x v="3"/>
    <s v="Mobile"/>
    <s v="Referral"/>
    <s v="Free"/>
    <n v="0"/>
    <n v="0"/>
    <n v="0"/>
    <n v="0"/>
    <n v="0"/>
    <n v="0"/>
    <n v="0"/>
    <n v="0"/>
    <n v="63.2"/>
  </r>
  <r>
    <x v="475"/>
    <d v="2025-05-17T00:00:00"/>
    <x v="0"/>
    <x v="1"/>
    <s v="Mobile"/>
    <s v="Referral"/>
    <s v="Basic"/>
    <n v="1"/>
    <n v="0"/>
    <n v="0"/>
    <n v="0"/>
    <n v="0"/>
    <n v="0"/>
    <n v="0"/>
    <n v="0"/>
    <n v="68.7"/>
  </r>
  <r>
    <x v="476"/>
    <d v="2025-04-25T00:00:00"/>
    <x v="0"/>
    <x v="3"/>
    <s v="Mobile"/>
    <s v="Referral"/>
    <s v="Free"/>
    <n v="0"/>
    <n v="0"/>
    <n v="0"/>
    <n v="0"/>
    <n v="0"/>
    <n v="0"/>
    <n v="0"/>
    <n v="0"/>
    <n v="52.1"/>
  </r>
  <r>
    <x v="477"/>
    <d v="2025-03-04T00:00:00"/>
    <x v="0"/>
    <x v="3"/>
    <s v="Desktop"/>
    <s v="Social"/>
    <s v="Basic"/>
    <n v="0"/>
    <n v="0"/>
    <n v="0"/>
    <n v="0"/>
    <n v="0"/>
    <n v="0"/>
    <n v="0"/>
    <n v="0"/>
    <n v="56.5"/>
  </r>
  <r>
    <x v="478"/>
    <d v="2025-03-18T00:00:00"/>
    <x v="0"/>
    <x v="3"/>
    <s v="Mobile"/>
    <s v="Organic"/>
    <s v="Free"/>
    <n v="1"/>
    <n v="0"/>
    <n v="0"/>
    <n v="0"/>
    <n v="0"/>
    <n v="0"/>
    <n v="0"/>
    <n v="0"/>
    <n v="64.400000000000006"/>
  </r>
  <r>
    <x v="479"/>
    <d v="2025-01-30T00:00:00"/>
    <x v="0"/>
    <x v="1"/>
    <s v="Mobile"/>
    <s v="Paid Search"/>
    <s v="Premium"/>
    <n v="1"/>
    <n v="0"/>
    <n v="0"/>
    <n v="0"/>
    <n v="0"/>
    <n v="0"/>
    <n v="0"/>
    <n v="0"/>
    <n v="65.900000000000006"/>
  </r>
  <r>
    <x v="480"/>
    <d v="2025-05-20T00:00:00"/>
    <x v="0"/>
    <x v="1"/>
    <s v="Tablet"/>
    <s v="Referral"/>
    <s v="Free"/>
    <n v="1"/>
    <n v="1"/>
    <n v="1"/>
    <n v="0"/>
    <n v="0"/>
    <n v="0"/>
    <n v="0"/>
    <n v="0"/>
    <n v="100"/>
  </r>
  <r>
    <x v="481"/>
    <d v="2025-02-13T00:00:00"/>
    <x v="0"/>
    <x v="0"/>
    <s v="Unknown"/>
    <s v="Organic"/>
    <s v="Basic"/>
    <n v="1"/>
    <n v="1"/>
    <n v="1"/>
    <n v="0"/>
    <n v="0"/>
    <n v="0"/>
    <n v="0"/>
    <n v="0"/>
    <n v="50.4"/>
  </r>
  <r>
    <x v="482"/>
    <d v="2025-04-12T00:00:00"/>
    <x v="0"/>
    <x v="1"/>
    <s v="Desktop"/>
    <s v="Organic"/>
    <s v="Basic"/>
    <n v="0"/>
    <n v="0"/>
    <n v="0"/>
    <n v="0"/>
    <n v="0"/>
    <n v="0"/>
    <n v="0"/>
    <n v="0"/>
    <n v="41.5"/>
  </r>
  <r>
    <x v="483"/>
    <d v="2025-04-07T00:00:00"/>
    <x v="0"/>
    <x v="0"/>
    <s v="Mobile"/>
    <s v="Email"/>
    <s v="Free"/>
    <n v="0"/>
    <n v="0"/>
    <n v="0"/>
    <n v="0"/>
    <n v="0"/>
    <n v="0"/>
    <n v="0"/>
    <n v="0"/>
    <n v="86.2"/>
  </r>
  <r>
    <x v="484"/>
    <d v="2025-03-12T00:00:00"/>
    <x v="0"/>
    <x v="0"/>
    <s v="Desktop"/>
    <s v="Social"/>
    <s v="Free"/>
    <n v="1"/>
    <n v="1"/>
    <n v="1"/>
    <n v="0"/>
    <n v="0"/>
    <n v="2"/>
    <n v="0"/>
    <n v="0"/>
    <n v="50.8"/>
  </r>
  <r>
    <x v="485"/>
    <d v="2025-02-07T00:00:00"/>
    <x v="0"/>
    <x v="1"/>
    <s v="Mobile"/>
    <s v="Organic"/>
    <s v="Free"/>
    <n v="1"/>
    <n v="0"/>
    <n v="0"/>
    <n v="0"/>
    <n v="0"/>
    <n v="0"/>
    <n v="0"/>
    <n v="0"/>
    <n v="50.9"/>
  </r>
  <r>
    <x v="486"/>
    <d v="2025-05-05T00:00:00"/>
    <x v="0"/>
    <x v="0"/>
    <s v="Mobile"/>
    <s v="Organic"/>
    <s v="Premium"/>
    <n v="1"/>
    <n v="1"/>
    <n v="0"/>
    <n v="0"/>
    <n v="0"/>
    <n v="0"/>
    <n v="0"/>
    <n v="0"/>
    <n v="87.5"/>
  </r>
  <r>
    <x v="487"/>
    <d v="2025-03-18T00:00:00"/>
    <x v="0"/>
    <x v="3"/>
    <s v="Mobile"/>
    <s v="Referral"/>
    <s v="Free"/>
    <n v="0"/>
    <n v="0"/>
    <n v="0"/>
    <n v="0"/>
    <n v="0"/>
    <n v="0"/>
    <n v="0"/>
    <n v="0"/>
    <n v="43.6"/>
  </r>
  <r>
    <x v="488"/>
    <d v="2025-01-05T00:00:00"/>
    <x v="0"/>
    <x v="3"/>
    <s v="Mobile"/>
    <s v="Paid Search"/>
    <s v="Basic"/>
    <n v="1"/>
    <n v="0"/>
    <n v="0"/>
    <n v="0"/>
    <n v="0"/>
    <n v="0"/>
    <n v="0"/>
    <n v="0"/>
    <n v="55.5"/>
  </r>
  <r>
    <x v="489"/>
    <d v="2025-05-10T00:00:00"/>
    <x v="0"/>
    <x v="3"/>
    <s v="Desktop"/>
    <s v="Referral"/>
    <s v="Basic"/>
    <n v="0"/>
    <n v="0"/>
    <n v="0"/>
    <n v="0"/>
    <n v="0"/>
    <n v="0"/>
    <n v="0"/>
    <n v="0"/>
    <n v="78.599999999999994"/>
  </r>
  <r>
    <x v="490"/>
    <d v="2025-01-03T00:00:00"/>
    <x v="0"/>
    <x v="3"/>
    <s v="Mobile"/>
    <s v="Social"/>
    <s v="Basic"/>
    <n v="1"/>
    <n v="1"/>
    <n v="0"/>
    <n v="0"/>
    <n v="0"/>
    <n v="1"/>
    <n v="0"/>
    <n v="0"/>
    <n v="44.3"/>
  </r>
  <r>
    <x v="491"/>
    <d v="2025-05-08T00:00:00"/>
    <x v="0"/>
    <x v="3"/>
    <s v="Mobile"/>
    <s v="Paid Search"/>
    <s v="Free"/>
    <n v="1"/>
    <n v="1"/>
    <n v="0"/>
    <n v="0"/>
    <n v="0"/>
    <n v="0"/>
    <n v="0"/>
    <n v="0"/>
    <n v="45.2"/>
  </r>
  <r>
    <x v="492"/>
    <d v="2025-03-05T00:00:00"/>
    <x v="0"/>
    <x v="3"/>
    <s v="Desktop"/>
    <s v="Email"/>
    <s v="Basic"/>
    <n v="1"/>
    <n v="0"/>
    <n v="0"/>
    <n v="0"/>
    <n v="0"/>
    <n v="2"/>
    <n v="0"/>
    <n v="0"/>
    <n v="46.1"/>
  </r>
  <r>
    <x v="493"/>
    <d v="2025-02-17T00:00:00"/>
    <x v="0"/>
    <x v="0"/>
    <s v="Mobile"/>
    <s v="Organic"/>
    <s v="Premium"/>
    <n v="1"/>
    <n v="0"/>
    <n v="0"/>
    <n v="0"/>
    <n v="0"/>
    <n v="0"/>
    <n v="0"/>
    <n v="0"/>
    <n v="49.6"/>
  </r>
  <r>
    <x v="494"/>
    <d v="2025-01-09T00:00:00"/>
    <x v="0"/>
    <x v="3"/>
    <s v="Mobile"/>
    <s v="Referral"/>
    <s v="Basic"/>
    <n v="0"/>
    <n v="0"/>
    <n v="0"/>
    <n v="0"/>
    <n v="0"/>
    <n v="0"/>
    <n v="0"/>
    <n v="0"/>
    <n v="70.5"/>
  </r>
  <r>
    <x v="495"/>
    <d v="2025-05-05T00:00:00"/>
    <x v="0"/>
    <x v="3"/>
    <s v="Mobile"/>
    <s v="Email"/>
    <s v="Basic"/>
    <n v="0"/>
    <n v="0"/>
    <n v="0"/>
    <n v="0"/>
    <n v="0"/>
    <n v="1"/>
    <n v="0"/>
    <n v="0"/>
    <n v="60.8"/>
  </r>
  <r>
    <x v="496"/>
    <d v="2025-04-16T00:00:00"/>
    <x v="0"/>
    <x v="2"/>
    <s v="Mobile"/>
    <s v="Email"/>
    <s v="Basic"/>
    <n v="0"/>
    <n v="0"/>
    <n v="0"/>
    <n v="0"/>
    <n v="0"/>
    <n v="1"/>
    <n v="0"/>
    <n v="0"/>
    <n v="50.5"/>
  </r>
  <r>
    <x v="497"/>
    <d v="2025-03-02T00:00:00"/>
    <x v="0"/>
    <x v="3"/>
    <s v="Desktop"/>
    <s v="Organic"/>
    <s v="Free"/>
    <n v="1"/>
    <n v="0"/>
    <n v="0"/>
    <n v="0"/>
    <n v="0"/>
    <n v="0"/>
    <n v="0"/>
    <n v="0"/>
    <n v="54.9"/>
  </r>
  <r>
    <x v="498"/>
    <d v="2025-04-14T00:00:00"/>
    <x v="0"/>
    <x v="3"/>
    <s v="Mobile"/>
    <s v="Social"/>
    <s v="Premium"/>
    <n v="0"/>
    <n v="0"/>
    <n v="0"/>
    <n v="0"/>
    <n v="0"/>
    <n v="0"/>
    <n v="0"/>
    <n v="0"/>
    <n v="29.9"/>
  </r>
  <r>
    <x v="499"/>
    <d v="2025-02-15T00:00:00"/>
    <x v="0"/>
    <x v="2"/>
    <s v="Desktop"/>
    <s v="Paid Search"/>
    <s v="Basic"/>
    <n v="0"/>
    <n v="0"/>
    <n v="0"/>
    <n v="0"/>
    <n v="0"/>
    <n v="0"/>
    <n v="0"/>
    <n v="0"/>
    <n v="48.3"/>
  </r>
  <r>
    <x v="500"/>
    <d v="2025-02-13T00:00:00"/>
    <x v="0"/>
    <x v="1"/>
    <s v="Mobile"/>
    <s v="Social"/>
    <s v="Free"/>
    <n v="1"/>
    <n v="1"/>
    <n v="1"/>
    <n v="1"/>
    <n v="513.61"/>
    <n v="0"/>
    <n v="0"/>
    <n v="7"/>
    <n v="41.3"/>
  </r>
  <r>
    <x v="501"/>
    <d v="2025-03-06T00:00:00"/>
    <x v="0"/>
    <x v="0"/>
    <s v="Mobile"/>
    <s v="Email"/>
    <s v="Free"/>
    <n v="0"/>
    <n v="0"/>
    <n v="0"/>
    <n v="0"/>
    <n v="0"/>
    <n v="0"/>
    <n v="0"/>
    <n v="0"/>
    <n v="61.4"/>
  </r>
  <r>
    <x v="502"/>
    <d v="2025-02-18T00:00:00"/>
    <x v="0"/>
    <x v="3"/>
    <s v="Desktop"/>
    <s v="Social"/>
    <s v="Free"/>
    <n v="0"/>
    <n v="0"/>
    <n v="0"/>
    <n v="0"/>
    <n v="0"/>
    <n v="0"/>
    <n v="0"/>
    <n v="0"/>
    <n v="57.8"/>
  </r>
  <r>
    <x v="503"/>
    <d v="2025-04-07T00:00:00"/>
    <x v="0"/>
    <x v="0"/>
    <s v="Desktop"/>
    <s v="Organic"/>
    <s v="Free"/>
    <n v="0"/>
    <n v="0"/>
    <n v="0"/>
    <n v="0"/>
    <n v="0"/>
    <n v="0"/>
    <n v="0"/>
    <n v="0"/>
    <n v="78.2"/>
  </r>
  <r>
    <x v="504"/>
    <d v="2025-04-06T00:00:00"/>
    <x v="0"/>
    <x v="0"/>
    <s v="Mobile"/>
    <s v="Referral"/>
    <s v="Free"/>
    <n v="0"/>
    <n v="0"/>
    <n v="0"/>
    <n v="0"/>
    <n v="0"/>
    <n v="0"/>
    <n v="0"/>
    <n v="0"/>
    <n v="63.8"/>
  </r>
  <r>
    <x v="505"/>
    <d v="2025-01-30T00:00:00"/>
    <x v="0"/>
    <x v="0"/>
    <s v="Desktop"/>
    <s v="Social"/>
    <s v="Free"/>
    <n v="1"/>
    <n v="0"/>
    <n v="0"/>
    <n v="0"/>
    <n v="0"/>
    <n v="0"/>
    <n v="0"/>
    <n v="0"/>
    <n v="56.8"/>
  </r>
  <r>
    <x v="506"/>
    <d v="2025-05-13T00:00:00"/>
    <x v="0"/>
    <x v="3"/>
    <s v="Desktop"/>
    <s v="Organic"/>
    <s v="Basic"/>
    <n v="1"/>
    <n v="1"/>
    <n v="0"/>
    <n v="0"/>
    <n v="0"/>
    <n v="0"/>
    <n v="0"/>
    <n v="0"/>
    <n v="59.6"/>
  </r>
  <r>
    <x v="507"/>
    <d v="2025-01-20T00:00:00"/>
    <x v="0"/>
    <x v="1"/>
    <s v="Mobile"/>
    <s v="Paid Search"/>
    <s v="Premium"/>
    <n v="1"/>
    <n v="1"/>
    <n v="0"/>
    <n v="0"/>
    <n v="0"/>
    <n v="0"/>
    <n v="0"/>
    <n v="0"/>
    <n v="50"/>
  </r>
  <r>
    <x v="508"/>
    <d v="2025-01-30T00:00:00"/>
    <x v="0"/>
    <x v="0"/>
    <s v="Tablet"/>
    <s v="Organic"/>
    <s v="Free"/>
    <n v="1"/>
    <n v="0"/>
    <n v="0"/>
    <n v="0"/>
    <n v="0"/>
    <n v="0"/>
    <n v="0"/>
    <n v="0"/>
    <n v="35.700000000000003"/>
  </r>
  <r>
    <x v="509"/>
    <d v="2025-01-13T00:00:00"/>
    <x v="0"/>
    <x v="3"/>
    <s v="Mobile"/>
    <s v="Organic"/>
    <s v="Free"/>
    <n v="0"/>
    <n v="0"/>
    <n v="0"/>
    <n v="0"/>
    <n v="0"/>
    <n v="2"/>
    <n v="0"/>
    <n v="0"/>
    <n v="47.2"/>
  </r>
  <r>
    <x v="510"/>
    <d v="2025-02-11T00:00:00"/>
    <x v="0"/>
    <x v="0"/>
    <s v="Mobile"/>
    <s v="Social"/>
    <s v="Free"/>
    <n v="1"/>
    <n v="1"/>
    <n v="0"/>
    <n v="0"/>
    <n v="0"/>
    <n v="0"/>
    <n v="0"/>
    <n v="0"/>
    <n v="56.9"/>
  </r>
  <r>
    <x v="511"/>
    <d v="2025-04-15T00:00:00"/>
    <x v="0"/>
    <x v="3"/>
    <s v="Mobile"/>
    <s v="Organic"/>
    <s v="Free"/>
    <n v="0"/>
    <n v="0"/>
    <n v="0"/>
    <n v="0"/>
    <n v="0"/>
    <n v="1"/>
    <n v="0"/>
    <n v="0"/>
    <n v="57.2"/>
  </r>
  <r>
    <x v="512"/>
    <d v="2025-02-13T00:00:00"/>
    <x v="0"/>
    <x v="3"/>
    <s v="Mobile"/>
    <s v="Unknown"/>
    <s v="Free"/>
    <n v="1"/>
    <n v="1"/>
    <n v="0"/>
    <n v="0"/>
    <n v="0"/>
    <n v="0"/>
    <n v="0"/>
    <n v="0"/>
    <n v="31.4"/>
  </r>
  <r>
    <x v="513"/>
    <d v="2025-05-09T00:00:00"/>
    <x v="0"/>
    <x v="3"/>
    <s v="Desktop"/>
    <s v="Organic"/>
    <s v="Free"/>
    <n v="0"/>
    <n v="0"/>
    <n v="0"/>
    <n v="0"/>
    <n v="0"/>
    <n v="0"/>
    <n v="0"/>
    <n v="0"/>
    <n v="71.2"/>
  </r>
  <r>
    <x v="514"/>
    <d v="2025-03-10T00:00:00"/>
    <x v="0"/>
    <x v="0"/>
    <s v="Mobile"/>
    <s v="Paid Search"/>
    <s v="Free"/>
    <n v="1"/>
    <n v="1"/>
    <n v="1"/>
    <n v="0"/>
    <n v="0"/>
    <n v="1"/>
    <n v="0"/>
    <n v="0"/>
    <n v="38.299999999999997"/>
  </r>
  <r>
    <x v="515"/>
    <d v="2025-04-01T00:00:00"/>
    <x v="0"/>
    <x v="0"/>
    <s v="Mobile"/>
    <s v="Organic"/>
    <s v="Free"/>
    <n v="1"/>
    <n v="1"/>
    <n v="0"/>
    <n v="0"/>
    <n v="0"/>
    <n v="0"/>
    <n v="0"/>
    <n v="0"/>
    <n v="63.1"/>
  </r>
  <r>
    <x v="516"/>
    <d v="2025-05-15T00:00:00"/>
    <x v="0"/>
    <x v="2"/>
    <s v="Mobile"/>
    <s v="Referral"/>
    <s v="Basic"/>
    <n v="1"/>
    <n v="0"/>
    <n v="0"/>
    <n v="0"/>
    <n v="0"/>
    <n v="0"/>
    <n v="0"/>
    <n v="0"/>
    <n v="59.7"/>
  </r>
  <r>
    <x v="517"/>
    <d v="2025-05-04T00:00:00"/>
    <x v="0"/>
    <x v="3"/>
    <s v="Desktop"/>
    <s v="Social"/>
    <s v="Premium"/>
    <n v="1"/>
    <n v="1"/>
    <n v="1"/>
    <n v="0"/>
    <n v="0"/>
    <n v="0"/>
    <n v="0"/>
    <n v="0"/>
    <n v="59.5"/>
  </r>
  <r>
    <x v="518"/>
    <d v="2025-05-20T00:00:00"/>
    <x v="0"/>
    <x v="2"/>
    <s v="Mobile"/>
    <s v="Paid Search"/>
    <s v="Free"/>
    <n v="0"/>
    <n v="0"/>
    <n v="0"/>
    <n v="0"/>
    <n v="0"/>
    <n v="0"/>
    <n v="0"/>
    <n v="0"/>
    <n v="78.8"/>
  </r>
  <r>
    <x v="519"/>
    <d v="2025-05-16T00:00:00"/>
    <x v="0"/>
    <x v="1"/>
    <s v="Desktop"/>
    <s v="Referral"/>
    <s v="Free"/>
    <n v="0"/>
    <n v="0"/>
    <n v="0"/>
    <n v="0"/>
    <n v="0"/>
    <n v="0"/>
    <n v="0"/>
    <n v="0"/>
    <n v="54"/>
  </r>
  <r>
    <x v="520"/>
    <d v="2025-03-17T00:00:00"/>
    <x v="0"/>
    <x v="1"/>
    <s v="Mobile"/>
    <s v="Organic"/>
    <s v="Free"/>
    <n v="1"/>
    <n v="0"/>
    <n v="0"/>
    <n v="0"/>
    <n v="0"/>
    <n v="0"/>
    <n v="0"/>
    <n v="0"/>
    <n v="66.3"/>
  </r>
  <r>
    <x v="521"/>
    <d v="2025-01-27T00:00:00"/>
    <x v="0"/>
    <x v="2"/>
    <s v="Tablet"/>
    <s v="Paid Search"/>
    <s v="Free"/>
    <n v="1"/>
    <n v="1"/>
    <n v="0"/>
    <n v="0"/>
    <n v="0"/>
    <n v="0"/>
    <n v="0"/>
    <n v="0"/>
    <n v="54.7"/>
  </r>
  <r>
    <x v="522"/>
    <d v="2025-04-13T00:00:00"/>
    <x v="0"/>
    <x v="3"/>
    <s v="Mobile"/>
    <s v="Organic"/>
    <s v="Basic"/>
    <n v="1"/>
    <n v="0"/>
    <n v="0"/>
    <n v="0"/>
    <n v="0"/>
    <n v="0"/>
    <n v="0"/>
    <n v="0"/>
    <n v="76.7"/>
  </r>
  <r>
    <x v="523"/>
    <d v="2025-05-03T00:00:00"/>
    <x v="0"/>
    <x v="3"/>
    <s v="Desktop"/>
    <s v="Email"/>
    <s v="Basic"/>
    <n v="1"/>
    <n v="0"/>
    <n v="0"/>
    <n v="0"/>
    <n v="0"/>
    <n v="2"/>
    <n v="0"/>
    <n v="0"/>
    <n v="47.4"/>
  </r>
  <r>
    <x v="524"/>
    <d v="2025-03-30T00:00:00"/>
    <x v="0"/>
    <x v="0"/>
    <s v="Mobile"/>
    <s v="Organic"/>
    <s v="Free"/>
    <n v="1"/>
    <n v="1"/>
    <n v="1"/>
    <n v="0"/>
    <n v="0"/>
    <n v="0"/>
    <n v="0"/>
    <n v="0"/>
    <n v="81.7"/>
  </r>
  <r>
    <x v="525"/>
    <d v="2025-01-01T00:00:00"/>
    <x v="0"/>
    <x v="1"/>
    <s v="Mobile"/>
    <s v="Paid Search"/>
    <s v="Basic"/>
    <n v="1"/>
    <n v="1"/>
    <n v="1"/>
    <n v="0"/>
    <n v="0"/>
    <n v="0"/>
    <n v="0"/>
    <n v="0"/>
    <n v="67.5"/>
  </r>
  <r>
    <x v="526"/>
    <d v="2025-02-06T00:00:00"/>
    <x v="0"/>
    <x v="1"/>
    <s v="Mobile"/>
    <s v="Paid Search"/>
    <s v="Basic"/>
    <n v="1"/>
    <n v="0"/>
    <n v="0"/>
    <n v="0"/>
    <n v="0"/>
    <n v="0"/>
    <n v="0"/>
    <n v="0"/>
    <n v="36.799999999999997"/>
  </r>
  <r>
    <x v="527"/>
    <d v="2025-02-25T00:00:00"/>
    <x v="0"/>
    <x v="0"/>
    <s v="Desktop"/>
    <s v="Organic"/>
    <s v="Free"/>
    <n v="0"/>
    <n v="0"/>
    <n v="0"/>
    <n v="0"/>
    <n v="0"/>
    <n v="0"/>
    <n v="0"/>
    <n v="0"/>
    <n v="66.5"/>
  </r>
  <r>
    <x v="528"/>
    <d v="2025-05-14T00:00:00"/>
    <x v="0"/>
    <x v="2"/>
    <s v="Tablet"/>
    <s v="Social"/>
    <s v="Free"/>
    <n v="1"/>
    <n v="0"/>
    <n v="0"/>
    <n v="0"/>
    <n v="0"/>
    <n v="0"/>
    <n v="0"/>
    <n v="0"/>
    <n v="35.4"/>
  </r>
  <r>
    <x v="529"/>
    <d v="2025-05-20T00:00:00"/>
    <x v="0"/>
    <x v="3"/>
    <s v="Mobile"/>
    <s v="Organic"/>
    <s v="Basic"/>
    <n v="0"/>
    <n v="0"/>
    <n v="0"/>
    <n v="0"/>
    <n v="0"/>
    <n v="0"/>
    <n v="0"/>
    <n v="0"/>
    <n v="64.3"/>
  </r>
  <r>
    <x v="530"/>
    <d v="2025-02-11T00:00:00"/>
    <x v="0"/>
    <x v="3"/>
    <s v="Mobile"/>
    <s v="Organic"/>
    <s v="Free"/>
    <n v="0"/>
    <n v="0"/>
    <n v="0"/>
    <n v="0"/>
    <n v="0"/>
    <n v="0"/>
    <n v="0"/>
    <n v="0"/>
    <n v="49.1"/>
  </r>
  <r>
    <x v="531"/>
    <d v="2025-02-13T00:00:00"/>
    <x v="0"/>
    <x v="1"/>
    <s v="Mobile"/>
    <s v="Organic"/>
    <s v="Free"/>
    <n v="1"/>
    <n v="0"/>
    <n v="0"/>
    <n v="0"/>
    <n v="0"/>
    <n v="0"/>
    <n v="0"/>
    <n v="0"/>
    <n v="84.3"/>
  </r>
  <r>
    <x v="532"/>
    <d v="2025-04-07T00:00:00"/>
    <x v="0"/>
    <x v="3"/>
    <s v="Mobile"/>
    <s v="Paid Search"/>
    <s v="Premium"/>
    <n v="1"/>
    <n v="0"/>
    <n v="0"/>
    <n v="0"/>
    <n v="0"/>
    <n v="0"/>
    <n v="0"/>
    <n v="0"/>
    <n v="65.599999999999994"/>
  </r>
  <r>
    <x v="533"/>
    <d v="2025-03-08T00:00:00"/>
    <x v="0"/>
    <x v="2"/>
    <s v="Mobile"/>
    <s v="Email"/>
    <s v="Free"/>
    <n v="1"/>
    <n v="0"/>
    <n v="0"/>
    <n v="0"/>
    <n v="0"/>
    <n v="0"/>
    <n v="0"/>
    <n v="0"/>
    <n v="47.1"/>
  </r>
  <r>
    <x v="534"/>
    <d v="2025-02-16T00:00:00"/>
    <x v="0"/>
    <x v="0"/>
    <s v="Desktop"/>
    <s v="Paid Search"/>
    <s v="Free"/>
    <n v="1"/>
    <n v="1"/>
    <n v="1"/>
    <n v="0"/>
    <n v="0"/>
    <n v="0"/>
    <n v="0"/>
    <n v="0"/>
    <n v="70"/>
  </r>
  <r>
    <x v="535"/>
    <d v="2025-04-28T00:00:00"/>
    <x v="0"/>
    <x v="3"/>
    <s v="Mobile"/>
    <s v="Paid Search"/>
    <s v="Premium"/>
    <n v="1"/>
    <n v="0"/>
    <n v="0"/>
    <n v="0"/>
    <n v="0"/>
    <n v="0"/>
    <n v="0"/>
    <n v="0"/>
    <n v="54.6"/>
  </r>
  <r>
    <x v="536"/>
    <d v="2025-03-10T00:00:00"/>
    <x v="0"/>
    <x v="1"/>
    <s v="Tablet"/>
    <s v="Social"/>
    <s v="Basic"/>
    <n v="1"/>
    <n v="1"/>
    <n v="0"/>
    <n v="0"/>
    <n v="0"/>
    <n v="1"/>
    <n v="0"/>
    <n v="0"/>
    <n v="65.2"/>
  </r>
  <r>
    <x v="537"/>
    <d v="2025-01-25T00:00:00"/>
    <x v="0"/>
    <x v="2"/>
    <s v="Mobile"/>
    <s v="Social"/>
    <s v="Free"/>
    <n v="1"/>
    <n v="0"/>
    <n v="0"/>
    <n v="0"/>
    <n v="0"/>
    <n v="0"/>
    <n v="0"/>
    <n v="0"/>
    <n v="65"/>
  </r>
  <r>
    <x v="538"/>
    <d v="2025-01-11T00:00:00"/>
    <x v="0"/>
    <x v="1"/>
    <s v="Mobile"/>
    <s v="Paid Search"/>
    <s v="Premium"/>
    <n v="1"/>
    <n v="1"/>
    <n v="1"/>
    <n v="0"/>
    <n v="0"/>
    <n v="1"/>
    <n v="0"/>
    <n v="0"/>
    <n v="42.1"/>
  </r>
  <r>
    <x v="539"/>
    <d v="2025-03-31T00:00:00"/>
    <x v="0"/>
    <x v="1"/>
    <s v="Tablet"/>
    <s v="Paid Search"/>
    <s v="Free"/>
    <n v="1"/>
    <n v="0"/>
    <n v="0"/>
    <n v="0"/>
    <n v="0"/>
    <n v="0"/>
    <n v="0"/>
    <n v="0"/>
    <n v="43.4"/>
  </r>
  <r>
    <x v="540"/>
    <d v="2025-05-22T00:00:00"/>
    <x v="0"/>
    <x v="0"/>
    <s v="Mobile"/>
    <s v="Paid Search"/>
    <s v="Basic"/>
    <n v="1"/>
    <n v="1"/>
    <n v="0"/>
    <n v="0"/>
    <n v="0"/>
    <n v="0"/>
    <n v="0"/>
    <n v="0"/>
    <n v="39.9"/>
  </r>
  <r>
    <x v="541"/>
    <d v="2025-05-16T00:00:00"/>
    <x v="0"/>
    <x v="0"/>
    <s v="Mobile"/>
    <s v="Referral"/>
    <s v="Basic"/>
    <n v="0"/>
    <n v="0"/>
    <n v="0"/>
    <n v="0"/>
    <n v="0"/>
    <n v="0"/>
    <n v="0"/>
    <n v="0"/>
    <n v="74.099999999999994"/>
  </r>
  <r>
    <x v="542"/>
    <d v="2025-04-25T00:00:00"/>
    <x v="0"/>
    <x v="2"/>
    <s v="Desktop"/>
    <s v="Paid Search"/>
    <s v="Free"/>
    <n v="1"/>
    <n v="0"/>
    <n v="0"/>
    <n v="0"/>
    <n v="0"/>
    <n v="0"/>
    <n v="0"/>
    <n v="0"/>
    <n v="61.4"/>
  </r>
  <r>
    <x v="543"/>
    <d v="2025-04-17T00:00:00"/>
    <x v="0"/>
    <x v="2"/>
    <s v="Mobile"/>
    <s v="Social"/>
    <s v="Premium"/>
    <n v="1"/>
    <n v="1"/>
    <n v="1"/>
    <n v="0"/>
    <n v="0"/>
    <n v="0"/>
    <n v="0"/>
    <n v="0"/>
    <n v="76.8"/>
  </r>
  <r>
    <x v="544"/>
    <d v="2025-01-01T00:00:00"/>
    <x v="0"/>
    <x v="3"/>
    <s v="Desktop"/>
    <s v="Social"/>
    <s v="Basic"/>
    <n v="0"/>
    <n v="0"/>
    <n v="0"/>
    <n v="0"/>
    <n v="0"/>
    <n v="0"/>
    <n v="0"/>
    <n v="0"/>
    <n v="0"/>
  </r>
  <r>
    <x v="545"/>
    <d v="2025-03-18T00:00:00"/>
    <x v="0"/>
    <x v="2"/>
    <s v="Mobile"/>
    <s v="Paid Search"/>
    <s v="Basic"/>
    <n v="1"/>
    <n v="1"/>
    <n v="1"/>
    <n v="0"/>
    <n v="0"/>
    <n v="0"/>
    <n v="0"/>
    <n v="0"/>
    <n v="45.3"/>
  </r>
  <r>
    <x v="546"/>
    <d v="2025-05-20T00:00:00"/>
    <x v="0"/>
    <x v="0"/>
    <s v="Tablet"/>
    <s v="Paid Search"/>
    <s v="Free"/>
    <n v="1"/>
    <n v="0"/>
    <n v="0"/>
    <n v="0"/>
    <n v="0"/>
    <n v="0"/>
    <n v="0"/>
    <n v="0"/>
    <n v="41.4"/>
  </r>
  <r>
    <x v="547"/>
    <d v="2025-03-16T00:00:00"/>
    <x v="0"/>
    <x v="0"/>
    <s v="Mobile"/>
    <s v="Organic"/>
    <s v="Basic"/>
    <n v="1"/>
    <n v="0"/>
    <n v="0"/>
    <n v="0"/>
    <n v="0"/>
    <n v="0"/>
    <n v="0"/>
    <n v="0"/>
    <n v="37.1"/>
  </r>
  <r>
    <x v="548"/>
    <d v="2025-05-30T00:00:00"/>
    <x v="0"/>
    <x v="2"/>
    <s v="Desktop"/>
    <s v="Social"/>
    <s v="Free"/>
    <n v="1"/>
    <n v="0"/>
    <n v="0"/>
    <n v="0"/>
    <n v="0"/>
    <n v="0"/>
    <n v="0"/>
    <n v="0"/>
    <n v="40.700000000000003"/>
  </r>
  <r>
    <x v="549"/>
    <d v="2025-02-20T00:00:00"/>
    <x v="0"/>
    <x v="0"/>
    <s v="Mobile"/>
    <s v="Social"/>
    <s v="Premium"/>
    <n v="0"/>
    <n v="0"/>
    <n v="0"/>
    <n v="0"/>
    <n v="0"/>
    <n v="2"/>
    <n v="0"/>
    <n v="0"/>
    <n v="55.9"/>
  </r>
  <r>
    <x v="550"/>
    <d v="2025-02-11T00:00:00"/>
    <x v="0"/>
    <x v="2"/>
    <s v="Unknown"/>
    <s v="Social"/>
    <s v="Free"/>
    <n v="1"/>
    <n v="1"/>
    <n v="0"/>
    <n v="0"/>
    <n v="0"/>
    <n v="0"/>
    <n v="0"/>
    <n v="0"/>
    <n v="55.8"/>
  </r>
  <r>
    <x v="551"/>
    <d v="2025-01-02T00:00:00"/>
    <x v="0"/>
    <x v="3"/>
    <s v="Tablet"/>
    <s v="Referral"/>
    <s v="Basic"/>
    <n v="1"/>
    <n v="0"/>
    <n v="0"/>
    <n v="0"/>
    <n v="0"/>
    <n v="0"/>
    <n v="0"/>
    <n v="0"/>
    <n v="64.3"/>
  </r>
  <r>
    <x v="552"/>
    <d v="2025-05-03T00:00:00"/>
    <x v="0"/>
    <x v="0"/>
    <s v="Mobile"/>
    <s v="Organic"/>
    <s v="Free"/>
    <n v="0"/>
    <n v="0"/>
    <n v="0"/>
    <n v="0"/>
    <n v="0"/>
    <n v="0"/>
    <n v="0"/>
    <n v="0"/>
    <n v="65.400000000000006"/>
  </r>
  <r>
    <x v="553"/>
    <d v="2025-02-24T00:00:00"/>
    <x v="0"/>
    <x v="1"/>
    <s v="Mobile"/>
    <s v="Organic"/>
    <s v="Free"/>
    <n v="1"/>
    <n v="0"/>
    <n v="0"/>
    <n v="0"/>
    <n v="0"/>
    <n v="0"/>
    <n v="0"/>
    <n v="0"/>
    <n v="89.8"/>
  </r>
  <r>
    <x v="554"/>
    <d v="2025-02-11T00:00:00"/>
    <x v="0"/>
    <x v="3"/>
    <s v="Unknown"/>
    <s v="Organic"/>
    <s v="Free"/>
    <n v="1"/>
    <n v="1"/>
    <n v="1"/>
    <n v="0"/>
    <n v="0"/>
    <n v="0"/>
    <n v="0"/>
    <n v="0"/>
    <n v="58.3"/>
  </r>
  <r>
    <x v="555"/>
    <d v="2025-05-06T00:00:00"/>
    <x v="0"/>
    <x v="3"/>
    <s v="Mobile"/>
    <s v="Social"/>
    <s v="Basic"/>
    <n v="1"/>
    <n v="0"/>
    <n v="0"/>
    <n v="0"/>
    <n v="0"/>
    <n v="0"/>
    <n v="0"/>
    <n v="0"/>
    <n v="64.400000000000006"/>
  </r>
  <r>
    <x v="556"/>
    <d v="2025-05-23T00:00:00"/>
    <x v="0"/>
    <x v="0"/>
    <s v="Mobile"/>
    <s v="Paid Search"/>
    <s v="Premium"/>
    <n v="0"/>
    <n v="0"/>
    <n v="0"/>
    <n v="0"/>
    <n v="0"/>
    <n v="0"/>
    <n v="0"/>
    <n v="0"/>
    <n v="46.2"/>
  </r>
  <r>
    <x v="557"/>
    <d v="2025-01-09T00:00:00"/>
    <x v="0"/>
    <x v="0"/>
    <s v="Desktop"/>
    <s v="Paid Search"/>
    <s v="Free"/>
    <n v="0"/>
    <n v="0"/>
    <n v="0"/>
    <n v="0"/>
    <n v="0"/>
    <n v="0"/>
    <n v="0"/>
    <n v="0"/>
    <n v="78"/>
  </r>
  <r>
    <x v="558"/>
    <d v="2025-04-01T00:00:00"/>
    <x v="0"/>
    <x v="0"/>
    <s v="Desktop"/>
    <s v="Organic"/>
    <s v="Premium"/>
    <n v="1"/>
    <n v="0"/>
    <n v="0"/>
    <n v="0"/>
    <n v="0"/>
    <n v="0"/>
    <n v="0"/>
    <n v="0"/>
    <n v="62.3"/>
  </r>
  <r>
    <x v="559"/>
    <d v="2025-03-08T00:00:00"/>
    <x v="0"/>
    <x v="0"/>
    <s v="Mobile"/>
    <s v="Organic"/>
    <s v="Free"/>
    <n v="1"/>
    <n v="0"/>
    <n v="0"/>
    <n v="0"/>
    <n v="0"/>
    <n v="0"/>
    <n v="0"/>
    <n v="0"/>
    <n v="78.8"/>
  </r>
  <r>
    <x v="560"/>
    <d v="2025-02-20T00:00:00"/>
    <x v="0"/>
    <x v="0"/>
    <s v="Mobile"/>
    <s v="Social"/>
    <s v="Basic"/>
    <n v="1"/>
    <n v="0"/>
    <n v="0"/>
    <n v="0"/>
    <n v="0"/>
    <n v="0"/>
    <n v="0"/>
    <n v="0"/>
    <n v="25"/>
  </r>
  <r>
    <x v="561"/>
    <d v="2025-03-30T00:00:00"/>
    <x v="0"/>
    <x v="2"/>
    <s v="Mobile"/>
    <s v="Social"/>
    <s v="Basic"/>
    <n v="0"/>
    <n v="0"/>
    <n v="0"/>
    <n v="0"/>
    <n v="0"/>
    <n v="0"/>
    <n v="0"/>
    <n v="0"/>
    <n v="53.4"/>
  </r>
  <r>
    <x v="562"/>
    <d v="2025-04-10T00:00:00"/>
    <x v="0"/>
    <x v="2"/>
    <s v="Desktop"/>
    <s v="Organic"/>
    <s v="Basic"/>
    <n v="0"/>
    <n v="0"/>
    <n v="0"/>
    <n v="0"/>
    <n v="0"/>
    <n v="0"/>
    <n v="0"/>
    <n v="0"/>
    <n v="40.700000000000003"/>
  </r>
  <r>
    <x v="563"/>
    <d v="2025-03-24T00:00:00"/>
    <x v="0"/>
    <x v="2"/>
    <s v="Mobile"/>
    <s v="Organic"/>
    <s v="Premium"/>
    <n v="1"/>
    <n v="1"/>
    <n v="0"/>
    <n v="0"/>
    <n v="0"/>
    <n v="0"/>
    <n v="0"/>
    <n v="0"/>
    <n v="36.700000000000003"/>
  </r>
  <r>
    <x v="564"/>
    <d v="2025-05-21T00:00:00"/>
    <x v="0"/>
    <x v="1"/>
    <s v="Mobile"/>
    <s v="Organic"/>
    <s v="Basic"/>
    <n v="1"/>
    <n v="0"/>
    <n v="0"/>
    <n v="0"/>
    <n v="0"/>
    <n v="1"/>
    <n v="0"/>
    <n v="0"/>
    <n v="67.5"/>
  </r>
  <r>
    <x v="565"/>
    <d v="2025-03-29T00:00:00"/>
    <x v="0"/>
    <x v="2"/>
    <s v="Mobile"/>
    <s v="Social"/>
    <s v="Premium"/>
    <n v="1"/>
    <n v="1"/>
    <n v="1"/>
    <n v="0"/>
    <n v="0"/>
    <n v="0"/>
    <n v="0"/>
    <n v="0"/>
    <n v="69.900000000000006"/>
  </r>
  <r>
    <x v="566"/>
    <d v="2025-02-23T00:00:00"/>
    <x v="0"/>
    <x v="0"/>
    <s v="Tablet"/>
    <s v="Referral"/>
    <s v="Basic"/>
    <n v="1"/>
    <n v="0"/>
    <n v="0"/>
    <n v="0"/>
    <n v="0"/>
    <n v="0"/>
    <n v="0"/>
    <n v="0"/>
    <n v="65.099999999999994"/>
  </r>
  <r>
    <x v="567"/>
    <d v="2025-02-16T00:00:00"/>
    <x v="0"/>
    <x v="1"/>
    <s v="Mobile"/>
    <s v="Paid Search"/>
    <s v="Premium"/>
    <n v="1"/>
    <n v="0"/>
    <n v="0"/>
    <n v="0"/>
    <n v="0"/>
    <n v="0"/>
    <n v="0"/>
    <n v="0"/>
    <n v="48.7"/>
  </r>
  <r>
    <x v="568"/>
    <d v="2025-02-21T00:00:00"/>
    <x v="0"/>
    <x v="1"/>
    <s v="Desktop"/>
    <s v="Organic"/>
    <s v="Basic"/>
    <n v="1"/>
    <n v="1"/>
    <n v="0"/>
    <n v="0"/>
    <n v="0"/>
    <n v="0"/>
    <n v="0"/>
    <n v="0"/>
    <n v="47.2"/>
  </r>
  <r>
    <x v="569"/>
    <d v="2025-01-07T00:00:00"/>
    <x v="0"/>
    <x v="0"/>
    <s v="Mobile"/>
    <s v="Referral"/>
    <s v="Free"/>
    <n v="1"/>
    <n v="0"/>
    <n v="0"/>
    <n v="0"/>
    <n v="0"/>
    <n v="2"/>
    <n v="0"/>
    <n v="0"/>
    <n v="20.3"/>
  </r>
  <r>
    <x v="570"/>
    <d v="2025-03-06T00:00:00"/>
    <x v="0"/>
    <x v="1"/>
    <s v="Mobile"/>
    <s v="Paid Search"/>
    <s v="Free"/>
    <n v="0"/>
    <n v="0"/>
    <n v="0"/>
    <n v="0"/>
    <n v="0"/>
    <n v="1"/>
    <n v="0"/>
    <n v="0"/>
    <n v="57.8"/>
  </r>
  <r>
    <x v="571"/>
    <d v="2025-03-30T00:00:00"/>
    <x v="0"/>
    <x v="2"/>
    <s v="Mobile"/>
    <s v="Email"/>
    <s v="Basic"/>
    <n v="1"/>
    <n v="0"/>
    <n v="0"/>
    <n v="0"/>
    <n v="0"/>
    <n v="0"/>
    <n v="0"/>
    <n v="0"/>
    <n v="78.7"/>
  </r>
  <r>
    <x v="572"/>
    <d v="2025-05-31T00:00:00"/>
    <x v="0"/>
    <x v="3"/>
    <s v="Desktop"/>
    <s v="Organic"/>
    <s v="Free"/>
    <n v="1"/>
    <n v="0"/>
    <n v="0"/>
    <n v="0"/>
    <n v="0"/>
    <n v="0"/>
    <n v="0"/>
    <n v="0"/>
    <n v="63.6"/>
  </r>
  <r>
    <x v="573"/>
    <d v="2025-02-20T00:00:00"/>
    <x v="0"/>
    <x v="3"/>
    <s v="Mobile"/>
    <s v="Email"/>
    <s v="Free"/>
    <n v="0"/>
    <n v="0"/>
    <n v="0"/>
    <n v="0"/>
    <n v="0"/>
    <n v="2"/>
    <n v="0"/>
    <n v="0"/>
    <n v="45.1"/>
  </r>
  <r>
    <x v="574"/>
    <d v="2025-01-13T00:00:00"/>
    <x v="0"/>
    <x v="1"/>
    <s v="Mobile"/>
    <s v="Social"/>
    <s v="Free"/>
    <n v="0"/>
    <n v="0"/>
    <n v="0"/>
    <n v="0"/>
    <n v="0"/>
    <n v="0"/>
    <n v="0"/>
    <n v="0"/>
    <n v="77.5"/>
  </r>
  <r>
    <x v="575"/>
    <d v="2025-05-13T00:00:00"/>
    <x v="0"/>
    <x v="2"/>
    <s v="Desktop"/>
    <s v="Paid Search"/>
    <s v="Basic"/>
    <n v="1"/>
    <n v="1"/>
    <n v="0"/>
    <n v="0"/>
    <n v="0"/>
    <n v="0"/>
    <n v="0"/>
    <n v="0"/>
    <n v="58"/>
  </r>
  <r>
    <x v="576"/>
    <d v="2025-04-21T00:00:00"/>
    <x v="0"/>
    <x v="3"/>
    <s v="Tablet"/>
    <s v="Organic"/>
    <s v="Free"/>
    <n v="1"/>
    <n v="0"/>
    <n v="0"/>
    <n v="0"/>
    <n v="0"/>
    <n v="0"/>
    <n v="0"/>
    <n v="0"/>
    <n v="68.099999999999994"/>
  </r>
  <r>
    <x v="577"/>
    <d v="2025-03-01T00:00:00"/>
    <x v="0"/>
    <x v="2"/>
    <s v="Tablet"/>
    <s v="Organic"/>
    <s v="Premium"/>
    <n v="1"/>
    <n v="0"/>
    <n v="0"/>
    <n v="0"/>
    <n v="0"/>
    <n v="0"/>
    <n v="0"/>
    <n v="0"/>
    <n v="35.4"/>
  </r>
  <r>
    <x v="578"/>
    <d v="2025-03-10T00:00:00"/>
    <x v="0"/>
    <x v="1"/>
    <s v="Tablet"/>
    <s v="Organic"/>
    <s v="Free"/>
    <n v="0"/>
    <n v="0"/>
    <n v="0"/>
    <n v="0"/>
    <n v="0"/>
    <n v="0"/>
    <n v="0"/>
    <n v="0"/>
    <n v="47"/>
  </r>
  <r>
    <x v="579"/>
    <d v="2025-03-08T00:00:00"/>
    <x v="0"/>
    <x v="2"/>
    <s v="Desktop"/>
    <s v="Paid Search"/>
    <s v="Free"/>
    <n v="0"/>
    <n v="0"/>
    <n v="0"/>
    <n v="0"/>
    <n v="0"/>
    <n v="0"/>
    <n v="0"/>
    <n v="0"/>
    <n v="75"/>
  </r>
  <r>
    <x v="580"/>
    <d v="2025-05-26T00:00:00"/>
    <x v="0"/>
    <x v="3"/>
    <s v="Desktop"/>
    <s v="Paid Search"/>
    <s v="Free"/>
    <n v="1"/>
    <n v="1"/>
    <n v="1"/>
    <n v="0"/>
    <n v="0"/>
    <n v="3"/>
    <n v="0"/>
    <n v="0"/>
    <n v="50.2"/>
  </r>
  <r>
    <x v="581"/>
    <d v="2025-05-20T00:00:00"/>
    <x v="0"/>
    <x v="2"/>
    <s v="Desktop"/>
    <s v="Paid Search"/>
    <s v="Free"/>
    <n v="1"/>
    <n v="0"/>
    <n v="0"/>
    <n v="0"/>
    <n v="0"/>
    <n v="0"/>
    <n v="0"/>
    <n v="0"/>
    <n v="40.1"/>
  </r>
  <r>
    <x v="582"/>
    <d v="2025-03-22T00:00:00"/>
    <x v="0"/>
    <x v="1"/>
    <s v="Desktop"/>
    <s v="Paid Search"/>
    <s v="Free"/>
    <n v="0"/>
    <n v="0"/>
    <n v="0"/>
    <n v="0"/>
    <n v="0"/>
    <n v="0"/>
    <n v="0"/>
    <n v="0"/>
    <n v="61.1"/>
  </r>
  <r>
    <x v="583"/>
    <d v="2025-02-15T00:00:00"/>
    <x v="0"/>
    <x v="3"/>
    <s v="Desktop"/>
    <s v="Paid Search"/>
    <s v="Free"/>
    <n v="0"/>
    <n v="0"/>
    <n v="0"/>
    <n v="0"/>
    <n v="0"/>
    <n v="0"/>
    <n v="0"/>
    <n v="0"/>
    <n v="42.4"/>
  </r>
  <r>
    <x v="584"/>
    <d v="2025-01-08T00:00:00"/>
    <x v="0"/>
    <x v="0"/>
    <s v="Mobile"/>
    <s v="Social"/>
    <s v="Free"/>
    <n v="0"/>
    <n v="0"/>
    <n v="0"/>
    <n v="0"/>
    <n v="0"/>
    <n v="1"/>
    <n v="0"/>
    <n v="0"/>
    <n v="46.6"/>
  </r>
  <r>
    <x v="585"/>
    <d v="2025-01-29T00:00:00"/>
    <x v="0"/>
    <x v="3"/>
    <s v="Mobile"/>
    <s v="Organic"/>
    <s v="Premium"/>
    <n v="1"/>
    <n v="1"/>
    <n v="0"/>
    <n v="0"/>
    <n v="0"/>
    <n v="0"/>
    <n v="0"/>
    <n v="0"/>
    <n v="72.099999999999994"/>
  </r>
  <r>
    <x v="586"/>
    <d v="2025-05-07T00:00:00"/>
    <x v="0"/>
    <x v="2"/>
    <s v="Tablet"/>
    <s v="Organic"/>
    <s v="Free"/>
    <n v="0"/>
    <n v="0"/>
    <n v="0"/>
    <n v="0"/>
    <n v="0"/>
    <n v="0"/>
    <n v="0"/>
    <n v="0"/>
    <n v="21.5"/>
  </r>
  <r>
    <x v="587"/>
    <d v="2025-03-01T00:00:00"/>
    <x v="0"/>
    <x v="0"/>
    <s v="Mobile"/>
    <s v="Social"/>
    <s v="Basic"/>
    <n v="1"/>
    <n v="0"/>
    <n v="0"/>
    <n v="0"/>
    <n v="0"/>
    <n v="1"/>
    <n v="0"/>
    <n v="0"/>
    <n v="65.400000000000006"/>
  </r>
  <r>
    <x v="588"/>
    <d v="2025-04-20T00:00:00"/>
    <x v="0"/>
    <x v="2"/>
    <s v="Mobile"/>
    <s v="Organic"/>
    <s v="Free"/>
    <n v="1"/>
    <n v="1"/>
    <n v="0"/>
    <n v="0"/>
    <n v="0"/>
    <n v="0"/>
    <n v="0"/>
    <n v="0"/>
    <n v="53.3"/>
  </r>
  <r>
    <x v="589"/>
    <d v="2025-01-16T00:00:00"/>
    <x v="0"/>
    <x v="2"/>
    <s v="Mobile"/>
    <s v="Organic"/>
    <s v="Premium"/>
    <n v="0"/>
    <n v="0"/>
    <n v="0"/>
    <n v="0"/>
    <n v="0"/>
    <n v="2"/>
    <n v="0"/>
    <n v="0"/>
    <n v="52.3"/>
  </r>
  <r>
    <x v="590"/>
    <d v="2025-04-04T00:00:00"/>
    <x v="0"/>
    <x v="2"/>
    <s v="Mobile"/>
    <s v="Paid Search"/>
    <s v="Free"/>
    <n v="1"/>
    <n v="0"/>
    <n v="0"/>
    <n v="0"/>
    <n v="0"/>
    <n v="0"/>
    <n v="0"/>
    <n v="0"/>
    <n v="62.5"/>
  </r>
  <r>
    <x v="591"/>
    <d v="2025-01-29T00:00:00"/>
    <x v="0"/>
    <x v="0"/>
    <s v="Tablet"/>
    <s v="Social"/>
    <s v="Free"/>
    <n v="1"/>
    <n v="0"/>
    <n v="0"/>
    <n v="0"/>
    <n v="0"/>
    <n v="0"/>
    <n v="0"/>
    <n v="0"/>
    <n v="69.8"/>
  </r>
  <r>
    <x v="592"/>
    <d v="2025-04-19T00:00:00"/>
    <x v="0"/>
    <x v="2"/>
    <s v="Mobile"/>
    <s v="Email"/>
    <s v="Free"/>
    <n v="1"/>
    <n v="0"/>
    <n v="0"/>
    <n v="0"/>
    <n v="0"/>
    <n v="0"/>
    <n v="0"/>
    <n v="0"/>
    <n v="68.2"/>
  </r>
  <r>
    <x v="593"/>
    <d v="2025-03-10T00:00:00"/>
    <x v="0"/>
    <x v="3"/>
    <s v="Mobile"/>
    <s v="Social"/>
    <s v="Basic"/>
    <n v="1"/>
    <n v="1"/>
    <n v="1"/>
    <n v="1"/>
    <n v="751.73"/>
    <n v="0"/>
    <n v="0"/>
    <n v="6"/>
    <n v="35.200000000000003"/>
  </r>
  <r>
    <x v="594"/>
    <d v="2025-05-10T00:00:00"/>
    <x v="0"/>
    <x v="3"/>
    <s v="Mobile"/>
    <s v="Social"/>
    <s v="Basic"/>
    <n v="0"/>
    <n v="0"/>
    <n v="0"/>
    <n v="0"/>
    <n v="0"/>
    <n v="0"/>
    <n v="0"/>
    <n v="0"/>
    <n v="59.3"/>
  </r>
  <r>
    <x v="595"/>
    <d v="2025-02-02T00:00:00"/>
    <x v="0"/>
    <x v="0"/>
    <s v="Mobile"/>
    <s v="Social"/>
    <s v="Free"/>
    <n v="0"/>
    <n v="0"/>
    <n v="0"/>
    <n v="0"/>
    <n v="0"/>
    <n v="0"/>
    <n v="0"/>
    <n v="0"/>
    <n v="68.099999999999994"/>
  </r>
  <r>
    <x v="596"/>
    <d v="2025-05-06T00:00:00"/>
    <x v="0"/>
    <x v="0"/>
    <s v="Desktop"/>
    <s v="Organic"/>
    <s v="Free"/>
    <n v="1"/>
    <n v="1"/>
    <n v="0"/>
    <n v="0"/>
    <n v="0"/>
    <n v="0"/>
    <n v="0"/>
    <n v="0"/>
    <n v="74.8"/>
  </r>
  <r>
    <x v="597"/>
    <d v="2025-01-19T00:00:00"/>
    <x v="0"/>
    <x v="1"/>
    <s v="Desktop"/>
    <s v="Organic"/>
    <s v="Free"/>
    <n v="1"/>
    <n v="1"/>
    <n v="1"/>
    <n v="0"/>
    <n v="0"/>
    <n v="0"/>
    <n v="0"/>
    <n v="0"/>
    <n v="61.7"/>
  </r>
  <r>
    <x v="598"/>
    <d v="2025-01-02T00:00:00"/>
    <x v="0"/>
    <x v="0"/>
    <s v="Mobile"/>
    <s v="Organic"/>
    <s v="Free"/>
    <n v="1"/>
    <n v="0"/>
    <n v="0"/>
    <n v="0"/>
    <n v="0"/>
    <n v="0"/>
    <n v="0"/>
    <n v="0"/>
    <n v="24.3"/>
  </r>
  <r>
    <x v="599"/>
    <d v="2025-05-03T00:00:00"/>
    <x v="0"/>
    <x v="3"/>
    <s v="Desktop"/>
    <s v="Paid Search"/>
    <s v="Free"/>
    <n v="0"/>
    <n v="0"/>
    <n v="0"/>
    <n v="0"/>
    <n v="0"/>
    <n v="1"/>
    <n v="0"/>
    <n v="0"/>
    <n v="61.9"/>
  </r>
  <r>
    <x v="600"/>
    <d v="2025-05-27T00:00:00"/>
    <x v="0"/>
    <x v="2"/>
    <s v="Desktop"/>
    <s v="Referral"/>
    <s v="Premium"/>
    <n v="0"/>
    <n v="0"/>
    <n v="0"/>
    <n v="0"/>
    <n v="0"/>
    <n v="2"/>
    <n v="0"/>
    <n v="0"/>
    <n v="41.7"/>
  </r>
  <r>
    <x v="601"/>
    <d v="2025-02-09T00:00:00"/>
    <x v="0"/>
    <x v="3"/>
    <s v="Desktop"/>
    <s v="Social"/>
    <s v="Free"/>
    <n v="1"/>
    <n v="0"/>
    <n v="0"/>
    <n v="0"/>
    <n v="0"/>
    <n v="0"/>
    <n v="0"/>
    <n v="0"/>
    <n v="87.6"/>
  </r>
  <r>
    <x v="602"/>
    <d v="2025-05-18T00:00:00"/>
    <x v="0"/>
    <x v="2"/>
    <s v="Mobile"/>
    <s v="Paid Search"/>
    <s v="Free"/>
    <n v="1"/>
    <n v="0"/>
    <n v="0"/>
    <n v="0"/>
    <n v="0"/>
    <n v="0"/>
    <n v="0"/>
    <n v="0"/>
    <n v="30.8"/>
  </r>
  <r>
    <x v="603"/>
    <d v="2025-05-17T00:00:00"/>
    <x v="0"/>
    <x v="0"/>
    <s v="Mobile"/>
    <s v="Email"/>
    <s v="Free"/>
    <n v="0"/>
    <n v="0"/>
    <n v="0"/>
    <n v="0"/>
    <n v="0"/>
    <n v="0"/>
    <n v="0"/>
    <n v="0"/>
    <n v="54"/>
  </r>
  <r>
    <x v="604"/>
    <d v="2025-01-25T00:00:00"/>
    <x v="0"/>
    <x v="2"/>
    <s v="Desktop"/>
    <s v="Referral"/>
    <s v="Basic"/>
    <n v="1"/>
    <n v="0"/>
    <n v="0"/>
    <n v="0"/>
    <n v="0"/>
    <n v="1"/>
    <n v="0"/>
    <n v="0"/>
    <n v="54.5"/>
  </r>
  <r>
    <x v="605"/>
    <d v="2025-05-04T00:00:00"/>
    <x v="0"/>
    <x v="1"/>
    <s v="Mobile"/>
    <s v="Paid Search"/>
    <s v="Premium"/>
    <n v="1"/>
    <n v="1"/>
    <n v="0"/>
    <n v="0"/>
    <n v="0"/>
    <n v="0"/>
    <n v="0"/>
    <n v="0"/>
    <n v="61.3"/>
  </r>
  <r>
    <x v="606"/>
    <d v="2025-04-14T00:00:00"/>
    <x v="0"/>
    <x v="1"/>
    <s v="Mobile"/>
    <s v="Organic"/>
    <s v="Free"/>
    <n v="1"/>
    <n v="0"/>
    <n v="0"/>
    <n v="0"/>
    <n v="0"/>
    <n v="0"/>
    <n v="0"/>
    <n v="0"/>
    <n v="62.7"/>
  </r>
  <r>
    <x v="607"/>
    <d v="2025-04-18T00:00:00"/>
    <x v="0"/>
    <x v="3"/>
    <s v="Mobile"/>
    <s v="Paid Search"/>
    <s v="Free"/>
    <n v="1"/>
    <n v="1"/>
    <n v="0"/>
    <n v="0"/>
    <n v="0"/>
    <n v="0"/>
    <n v="0"/>
    <n v="0"/>
    <n v="43.1"/>
  </r>
  <r>
    <x v="608"/>
    <d v="2025-02-24T00:00:00"/>
    <x v="0"/>
    <x v="3"/>
    <s v="Desktop"/>
    <s v="Email"/>
    <s v="Basic"/>
    <n v="0"/>
    <n v="0"/>
    <n v="0"/>
    <n v="0"/>
    <n v="0"/>
    <n v="0"/>
    <n v="0"/>
    <n v="0"/>
    <n v="59.9"/>
  </r>
  <r>
    <x v="609"/>
    <d v="2025-04-19T00:00:00"/>
    <x v="0"/>
    <x v="0"/>
    <s v="Tablet"/>
    <s v="Paid Search"/>
    <s v="Free"/>
    <n v="1"/>
    <n v="1"/>
    <n v="1"/>
    <n v="0"/>
    <n v="0"/>
    <n v="0"/>
    <n v="0"/>
    <n v="0"/>
    <n v="55.7"/>
  </r>
  <r>
    <x v="610"/>
    <d v="2025-03-07T00:00:00"/>
    <x v="0"/>
    <x v="3"/>
    <s v="Desktop"/>
    <s v="Organic"/>
    <s v="Basic"/>
    <n v="1"/>
    <n v="0"/>
    <n v="0"/>
    <n v="0"/>
    <n v="0"/>
    <n v="0"/>
    <n v="0"/>
    <n v="0"/>
    <n v="37.1"/>
  </r>
  <r>
    <x v="611"/>
    <d v="2025-03-09T00:00:00"/>
    <x v="0"/>
    <x v="2"/>
    <s v="Mobile"/>
    <s v="Organic"/>
    <s v="Basic"/>
    <n v="0"/>
    <n v="0"/>
    <n v="0"/>
    <n v="0"/>
    <n v="0"/>
    <n v="1"/>
    <n v="0"/>
    <n v="0"/>
    <n v="46.7"/>
  </r>
  <r>
    <x v="612"/>
    <d v="2025-05-01T00:00:00"/>
    <x v="0"/>
    <x v="3"/>
    <s v="Desktop"/>
    <s v="Organic"/>
    <s v="Basic"/>
    <n v="1"/>
    <n v="0"/>
    <n v="0"/>
    <n v="0"/>
    <n v="0"/>
    <n v="0"/>
    <n v="0"/>
    <n v="0"/>
    <n v="54.1"/>
  </r>
  <r>
    <x v="613"/>
    <d v="2025-02-09T00:00:00"/>
    <x v="0"/>
    <x v="1"/>
    <s v="Desktop"/>
    <s v="Organic"/>
    <s v="Premium"/>
    <n v="1"/>
    <n v="1"/>
    <n v="1"/>
    <n v="0"/>
    <n v="0"/>
    <n v="0"/>
    <n v="0"/>
    <n v="0"/>
    <n v="56.1"/>
  </r>
  <r>
    <x v="614"/>
    <d v="2025-05-22T00:00:00"/>
    <x v="0"/>
    <x v="1"/>
    <s v="Mobile"/>
    <s v="Referral"/>
    <s v="Premium"/>
    <n v="0"/>
    <n v="0"/>
    <n v="0"/>
    <n v="0"/>
    <n v="0"/>
    <n v="0"/>
    <n v="0"/>
    <n v="0"/>
    <n v="23.6"/>
  </r>
  <r>
    <x v="615"/>
    <d v="2025-02-11T00:00:00"/>
    <x v="0"/>
    <x v="0"/>
    <s v="Mobile"/>
    <s v="Organic"/>
    <s v="Premium"/>
    <n v="0"/>
    <n v="0"/>
    <n v="0"/>
    <n v="0"/>
    <n v="0"/>
    <n v="0"/>
    <n v="0"/>
    <n v="0"/>
    <n v="54.7"/>
  </r>
  <r>
    <x v="616"/>
    <d v="2025-04-12T00:00:00"/>
    <x v="0"/>
    <x v="0"/>
    <s v="Mobile"/>
    <s v="Referral"/>
    <s v="Basic"/>
    <n v="0"/>
    <n v="0"/>
    <n v="0"/>
    <n v="0"/>
    <n v="0"/>
    <n v="2"/>
    <n v="0"/>
    <n v="0"/>
    <n v="50.4"/>
  </r>
  <r>
    <x v="617"/>
    <d v="2025-03-01T00:00:00"/>
    <x v="0"/>
    <x v="1"/>
    <s v="Mobile"/>
    <s v="Social"/>
    <s v="Free"/>
    <n v="1"/>
    <n v="0"/>
    <n v="0"/>
    <n v="0"/>
    <n v="0"/>
    <n v="0"/>
    <n v="0"/>
    <n v="0"/>
    <n v="54.5"/>
  </r>
  <r>
    <x v="618"/>
    <d v="2025-03-17T00:00:00"/>
    <x v="0"/>
    <x v="1"/>
    <s v="Desktop"/>
    <s v="Email"/>
    <s v="Basic"/>
    <n v="0"/>
    <n v="0"/>
    <n v="0"/>
    <n v="0"/>
    <n v="0"/>
    <n v="0"/>
    <n v="0"/>
    <n v="0"/>
    <n v="58"/>
  </r>
  <r>
    <x v="619"/>
    <d v="2025-01-11T00:00:00"/>
    <x v="0"/>
    <x v="0"/>
    <s v="Mobile"/>
    <s v="Paid Search"/>
    <s v="Free"/>
    <n v="0"/>
    <n v="0"/>
    <n v="0"/>
    <n v="0"/>
    <n v="0"/>
    <n v="0"/>
    <n v="0"/>
    <n v="0"/>
    <n v="42.9"/>
  </r>
  <r>
    <x v="620"/>
    <d v="2025-02-17T00:00:00"/>
    <x v="0"/>
    <x v="3"/>
    <s v="Mobile"/>
    <s v="Social"/>
    <s v="Premium"/>
    <n v="1"/>
    <n v="0"/>
    <n v="0"/>
    <n v="0"/>
    <n v="0"/>
    <n v="0"/>
    <n v="0"/>
    <n v="0"/>
    <n v="51.1"/>
  </r>
  <r>
    <x v="621"/>
    <d v="2025-03-25T00:00:00"/>
    <x v="0"/>
    <x v="2"/>
    <s v="Mobile"/>
    <s v="Paid Search"/>
    <s v="Basic"/>
    <n v="1"/>
    <n v="1"/>
    <n v="0"/>
    <n v="0"/>
    <n v="0"/>
    <n v="0"/>
    <n v="0"/>
    <n v="0"/>
    <n v="51.8"/>
  </r>
  <r>
    <x v="622"/>
    <d v="2025-05-01T00:00:00"/>
    <x v="0"/>
    <x v="3"/>
    <s v="Mobile"/>
    <s v="Paid Search"/>
    <s v="Free"/>
    <n v="0"/>
    <n v="0"/>
    <n v="0"/>
    <n v="0"/>
    <n v="0"/>
    <n v="0"/>
    <n v="0"/>
    <n v="0"/>
    <n v="67.7"/>
  </r>
  <r>
    <x v="623"/>
    <d v="2025-04-02T00:00:00"/>
    <x v="0"/>
    <x v="2"/>
    <s v="Mobile"/>
    <s v="Organic"/>
    <s v="Basic"/>
    <n v="0"/>
    <n v="0"/>
    <n v="0"/>
    <n v="0"/>
    <n v="0"/>
    <n v="0"/>
    <n v="0"/>
    <n v="0"/>
    <n v="75.8"/>
  </r>
  <r>
    <x v="624"/>
    <d v="2025-04-05T00:00:00"/>
    <x v="0"/>
    <x v="2"/>
    <s v="Mobile"/>
    <s v="Email"/>
    <s v="Free"/>
    <n v="1"/>
    <n v="1"/>
    <n v="0"/>
    <n v="0"/>
    <n v="0"/>
    <n v="0"/>
    <n v="0"/>
    <n v="0"/>
    <n v="72.8"/>
  </r>
  <r>
    <x v="625"/>
    <d v="2025-02-24T00:00:00"/>
    <x v="0"/>
    <x v="0"/>
    <s v="Desktop"/>
    <s v="Social"/>
    <s v="Free"/>
    <n v="1"/>
    <n v="1"/>
    <n v="0"/>
    <n v="0"/>
    <n v="0"/>
    <n v="0"/>
    <n v="0"/>
    <n v="0"/>
    <n v="54.4"/>
  </r>
  <r>
    <x v="626"/>
    <d v="2025-01-24T00:00:00"/>
    <x v="0"/>
    <x v="1"/>
    <s v="Mobile"/>
    <s v="Paid Search"/>
    <s v="Basic"/>
    <n v="1"/>
    <n v="0"/>
    <n v="0"/>
    <n v="0"/>
    <n v="0"/>
    <n v="0"/>
    <n v="0"/>
    <n v="0"/>
    <n v="51.8"/>
  </r>
  <r>
    <x v="627"/>
    <d v="2025-04-10T00:00:00"/>
    <x v="0"/>
    <x v="3"/>
    <s v="Mobile"/>
    <s v="Paid Search"/>
    <s v="Free"/>
    <n v="0"/>
    <n v="0"/>
    <n v="0"/>
    <n v="0"/>
    <n v="0"/>
    <n v="0"/>
    <n v="0"/>
    <n v="0"/>
    <n v="40.299999999999997"/>
  </r>
  <r>
    <x v="628"/>
    <d v="2025-02-19T00:00:00"/>
    <x v="0"/>
    <x v="3"/>
    <s v="Mobile"/>
    <s v="Referral"/>
    <s v="Free"/>
    <n v="1"/>
    <n v="1"/>
    <n v="1"/>
    <n v="0"/>
    <n v="0"/>
    <n v="0"/>
    <n v="0"/>
    <n v="0"/>
    <n v="61.7"/>
  </r>
  <r>
    <x v="629"/>
    <d v="2025-03-22T00:00:00"/>
    <x v="0"/>
    <x v="0"/>
    <s v="Mobile"/>
    <s v="Social"/>
    <s v="Free"/>
    <n v="0"/>
    <n v="0"/>
    <n v="0"/>
    <n v="0"/>
    <n v="0"/>
    <n v="0"/>
    <n v="0"/>
    <n v="0"/>
    <n v="45"/>
  </r>
  <r>
    <x v="630"/>
    <d v="2025-04-08T00:00:00"/>
    <x v="0"/>
    <x v="2"/>
    <s v="Desktop"/>
    <s v="Organic"/>
    <s v="Premium"/>
    <n v="1"/>
    <n v="1"/>
    <n v="1"/>
    <n v="0"/>
    <n v="0"/>
    <n v="0"/>
    <n v="0"/>
    <n v="0"/>
    <n v="60"/>
  </r>
  <r>
    <x v="631"/>
    <d v="2025-03-16T00:00:00"/>
    <x v="0"/>
    <x v="0"/>
    <s v="Mobile"/>
    <s v="Social"/>
    <s v="Free"/>
    <n v="1"/>
    <n v="0"/>
    <n v="0"/>
    <n v="0"/>
    <n v="0"/>
    <n v="0"/>
    <n v="0"/>
    <n v="0"/>
    <n v="0"/>
  </r>
  <r>
    <x v="632"/>
    <d v="2025-03-07T00:00:00"/>
    <x v="0"/>
    <x v="2"/>
    <s v="Mobile"/>
    <s v="Paid Search"/>
    <s v="Free"/>
    <n v="1"/>
    <n v="0"/>
    <n v="0"/>
    <n v="0"/>
    <n v="0"/>
    <n v="0"/>
    <n v="0"/>
    <n v="0"/>
    <n v="55.5"/>
  </r>
  <r>
    <x v="633"/>
    <d v="2025-03-16T00:00:00"/>
    <x v="0"/>
    <x v="3"/>
    <s v="Mobile"/>
    <s v="Referral"/>
    <s v="Basic"/>
    <n v="0"/>
    <n v="0"/>
    <n v="0"/>
    <n v="0"/>
    <n v="0"/>
    <n v="0"/>
    <n v="0"/>
    <n v="0"/>
    <n v="51.8"/>
  </r>
  <r>
    <x v="634"/>
    <d v="2025-05-26T00:00:00"/>
    <x v="0"/>
    <x v="2"/>
    <s v="Mobile"/>
    <s v="Unknown"/>
    <s v="Premium"/>
    <n v="1"/>
    <n v="0"/>
    <n v="0"/>
    <n v="0"/>
    <n v="0"/>
    <n v="3"/>
    <n v="0"/>
    <n v="0"/>
    <n v="56"/>
  </r>
  <r>
    <x v="635"/>
    <d v="2025-01-14T00:00:00"/>
    <x v="0"/>
    <x v="1"/>
    <s v="Mobile"/>
    <s v="Organic"/>
    <s v="Free"/>
    <n v="0"/>
    <n v="0"/>
    <n v="0"/>
    <n v="0"/>
    <n v="0"/>
    <n v="0"/>
    <n v="0"/>
    <n v="0"/>
    <n v="52.5"/>
  </r>
  <r>
    <x v="636"/>
    <d v="2025-03-30T00:00:00"/>
    <x v="0"/>
    <x v="1"/>
    <s v="Mobile"/>
    <s v="Paid Search"/>
    <s v="Premium"/>
    <n v="1"/>
    <n v="0"/>
    <n v="0"/>
    <n v="0"/>
    <n v="0"/>
    <n v="0"/>
    <n v="0"/>
    <n v="0"/>
    <n v="42.5"/>
  </r>
  <r>
    <x v="637"/>
    <d v="2025-05-12T00:00:00"/>
    <x v="0"/>
    <x v="2"/>
    <s v="Desktop"/>
    <s v="Email"/>
    <s v="Free"/>
    <n v="1"/>
    <n v="1"/>
    <n v="1"/>
    <n v="0"/>
    <n v="0"/>
    <n v="0"/>
    <n v="0"/>
    <n v="0"/>
    <n v="65.3"/>
  </r>
  <r>
    <x v="638"/>
    <d v="2025-05-10T00:00:00"/>
    <x v="0"/>
    <x v="1"/>
    <s v="Mobile"/>
    <s v="Paid Search"/>
    <s v="Free"/>
    <n v="0"/>
    <n v="0"/>
    <n v="0"/>
    <n v="0"/>
    <n v="0"/>
    <n v="0"/>
    <n v="0"/>
    <n v="0"/>
    <n v="37.6"/>
  </r>
  <r>
    <x v="639"/>
    <d v="2025-04-09T00:00:00"/>
    <x v="0"/>
    <x v="2"/>
    <s v="Mobile"/>
    <s v="Social"/>
    <s v="Basic"/>
    <n v="0"/>
    <n v="0"/>
    <n v="0"/>
    <n v="0"/>
    <n v="0"/>
    <n v="0"/>
    <n v="0"/>
    <n v="0"/>
    <n v="57.8"/>
  </r>
  <r>
    <x v="640"/>
    <d v="2025-05-26T00:00:00"/>
    <x v="0"/>
    <x v="0"/>
    <s v="Mobile"/>
    <s v="Social"/>
    <s v="Free"/>
    <n v="1"/>
    <n v="0"/>
    <n v="0"/>
    <n v="0"/>
    <n v="0"/>
    <n v="0"/>
    <n v="0"/>
    <n v="0"/>
    <n v="52.7"/>
  </r>
  <r>
    <x v="641"/>
    <d v="2025-02-12T00:00:00"/>
    <x v="0"/>
    <x v="0"/>
    <s v="Mobile"/>
    <s v="Organic"/>
    <s v="Free"/>
    <n v="1"/>
    <n v="0"/>
    <n v="0"/>
    <n v="0"/>
    <n v="0"/>
    <n v="0"/>
    <n v="0"/>
    <n v="0"/>
    <n v="51.7"/>
  </r>
  <r>
    <x v="642"/>
    <d v="2025-04-01T00:00:00"/>
    <x v="0"/>
    <x v="0"/>
    <s v="Desktop"/>
    <s v="Email"/>
    <s v="Basic"/>
    <n v="0"/>
    <n v="0"/>
    <n v="0"/>
    <n v="0"/>
    <n v="0"/>
    <n v="0"/>
    <n v="0"/>
    <n v="0"/>
    <n v="57"/>
  </r>
  <r>
    <x v="643"/>
    <d v="2025-01-18T00:00:00"/>
    <x v="0"/>
    <x v="3"/>
    <s v="Desktop"/>
    <s v="Organic"/>
    <s v="Basic"/>
    <n v="0"/>
    <n v="0"/>
    <n v="0"/>
    <n v="0"/>
    <n v="0"/>
    <n v="0"/>
    <n v="0"/>
    <n v="0"/>
    <n v="39.5"/>
  </r>
  <r>
    <x v="644"/>
    <d v="2025-04-06T00:00:00"/>
    <x v="0"/>
    <x v="2"/>
    <s v="Tablet"/>
    <s v="Organic"/>
    <s v="Free"/>
    <n v="1"/>
    <n v="0"/>
    <n v="0"/>
    <n v="0"/>
    <n v="0"/>
    <n v="0"/>
    <n v="0"/>
    <n v="0"/>
    <n v="76.5"/>
  </r>
  <r>
    <x v="645"/>
    <d v="2025-04-17T00:00:00"/>
    <x v="0"/>
    <x v="2"/>
    <s v="Mobile"/>
    <s v="Organic"/>
    <s v="Free"/>
    <n v="1"/>
    <n v="0"/>
    <n v="0"/>
    <n v="0"/>
    <n v="0"/>
    <n v="0"/>
    <n v="0"/>
    <n v="0"/>
    <n v="32.4"/>
  </r>
  <r>
    <x v="646"/>
    <d v="2025-02-07T00:00:00"/>
    <x v="0"/>
    <x v="0"/>
    <s v="Desktop"/>
    <s v="Paid Search"/>
    <s v="Free"/>
    <n v="0"/>
    <n v="0"/>
    <n v="0"/>
    <n v="0"/>
    <n v="0"/>
    <n v="0"/>
    <n v="0"/>
    <n v="0"/>
    <n v="58.6"/>
  </r>
  <r>
    <x v="647"/>
    <d v="2025-03-04T00:00:00"/>
    <x v="0"/>
    <x v="2"/>
    <s v="Mobile"/>
    <s v="Organic"/>
    <s v="Basic"/>
    <n v="1"/>
    <n v="0"/>
    <n v="0"/>
    <n v="0"/>
    <n v="0"/>
    <n v="0"/>
    <n v="0"/>
    <n v="0"/>
    <n v="78.599999999999994"/>
  </r>
  <r>
    <x v="648"/>
    <d v="2025-02-17T00:00:00"/>
    <x v="0"/>
    <x v="0"/>
    <s v="Desktop"/>
    <s v="Organic"/>
    <s v="Premium"/>
    <n v="0"/>
    <n v="0"/>
    <n v="0"/>
    <n v="0"/>
    <n v="0"/>
    <n v="0"/>
    <n v="0"/>
    <n v="0"/>
    <n v="54.5"/>
  </r>
  <r>
    <x v="649"/>
    <d v="2025-05-06T00:00:00"/>
    <x v="0"/>
    <x v="3"/>
    <s v="Mobile"/>
    <s v="Referral"/>
    <s v="Free"/>
    <n v="1"/>
    <n v="0"/>
    <n v="0"/>
    <n v="0"/>
    <n v="0"/>
    <n v="0"/>
    <n v="0"/>
    <n v="0"/>
    <n v="57.6"/>
  </r>
  <r>
    <x v="650"/>
    <d v="2025-03-25T00:00:00"/>
    <x v="0"/>
    <x v="3"/>
    <s v="Mobile"/>
    <s v="Referral"/>
    <s v="Premium"/>
    <n v="0"/>
    <n v="0"/>
    <n v="0"/>
    <n v="0"/>
    <n v="0"/>
    <n v="0"/>
    <n v="0"/>
    <n v="0"/>
    <n v="52.8"/>
  </r>
  <r>
    <x v="651"/>
    <d v="2025-03-04T00:00:00"/>
    <x v="0"/>
    <x v="1"/>
    <s v="Mobile"/>
    <s v="Email"/>
    <s v="Premium"/>
    <n v="1"/>
    <n v="0"/>
    <n v="0"/>
    <n v="0"/>
    <n v="0"/>
    <n v="0"/>
    <n v="0"/>
    <n v="0"/>
    <n v="52.9"/>
  </r>
  <r>
    <x v="652"/>
    <d v="2025-05-09T00:00:00"/>
    <x v="0"/>
    <x v="1"/>
    <s v="Mobile"/>
    <s v="Organic"/>
    <s v="Free"/>
    <n v="1"/>
    <n v="0"/>
    <n v="0"/>
    <n v="0"/>
    <n v="0"/>
    <n v="1"/>
    <n v="0"/>
    <n v="0"/>
    <n v="55.9"/>
  </r>
  <r>
    <x v="653"/>
    <d v="2025-05-17T00:00:00"/>
    <x v="0"/>
    <x v="1"/>
    <s v="Mobile"/>
    <s v="Referral"/>
    <s v="Premium"/>
    <n v="1"/>
    <n v="0"/>
    <n v="0"/>
    <n v="0"/>
    <n v="0"/>
    <n v="0"/>
    <n v="0"/>
    <n v="0"/>
    <n v="74.2"/>
  </r>
  <r>
    <x v="654"/>
    <d v="2025-01-12T00:00:00"/>
    <x v="0"/>
    <x v="1"/>
    <s v="Mobile"/>
    <s v="Organic"/>
    <s v="Free"/>
    <n v="0"/>
    <n v="0"/>
    <n v="0"/>
    <n v="0"/>
    <n v="0"/>
    <n v="0"/>
    <n v="0"/>
    <n v="0"/>
    <n v="46.3"/>
  </r>
  <r>
    <x v="655"/>
    <d v="2025-03-12T00:00:00"/>
    <x v="0"/>
    <x v="1"/>
    <s v="Mobile"/>
    <s v="Organic"/>
    <s v="Premium"/>
    <n v="1"/>
    <n v="0"/>
    <n v="0"/>
    <n v="0"/>
    <n v="0"/>
    <n v="0"/>
    <n v="0"/>
    <n v="0"/>
    <n v="62"/>
  </r>
  <r>
    <x v="656"/>
    <d v="2025-04-02T00:00:00"/>
    <x v="0"/>
    <x v="3"/>
    <s v="Mobile"/>
    <s v="Organic"/>
    <s v="Basic"/>
    <n v="0"/>
    <n v="0"/>
    <n v="0"/>
    <n v="0"/>
    <n v="0"/>
    <n v="0"/>
    <n v="0"/>
    <n v="0"/>
    <n v="55.6"/>
  </r>
  <r>
    <x v="657"/>
    <d v="2025-01-13T00:00:00"/>
    <x v="0"/>
    <x v="3"/>
    <s v="Mobile"/>
    <s v="Organic"/>
    <s v="Basic"/>
    <n v="1"/>
    <n v="0"/>
    <n v="0"/>
    <n v="0"/>
    <n v="0"/>
    <n v="0"/>
    <n v="0"/>
    <n v="0"/>
    <n v="62.8"/>
  </r>
  <r>
    <x v="658"/>
    <d v="2025-03-07T00:00:00"/>
    <x v="0"/>
    <x v="2"/>
    <s v="Mobile"/>
    <s v="Referral"/>
    <s v="Free"/>
    <n v="0"/>
    <n v="0"/>
    <n v="0"/>
    <n v="0"/>
    <n v="0"/>
    <n v="0"/>
    <n v="0"/>
    <n v="0"/>
    <n v="73.099999999999994"/>
  </r>
  <r>
    <x v="659"/>
    <d v="2025-04-20T00:00:00"/>
    <x v="0"/>
    <x v="3"/>
    <s v="Desktop"/>
    <s v="Social"/>
    <s v="Free"/>
    <n v="1"/>
    <n v="1"/>
    <n v="1"/>
    <n v="1"/>
    <n v="347.52"/>
    <n v="0"/>
    <n v="0"/>
    <n v="2"/>
    <n v="57.2"/>
  </r>
  <r>
    <x v="660"/>
    <d v="2025-01-07T00:00:00"/>
    <x v="0"/>
    <x v="3"/>
    <s v="Mobile"/>
    <s v="Paid Search"/>
    <s v="Free"/>
    <n v="1"/>
    <n v="0"/>
    <n v="0"/>
    <n v="0"/>
    <n v="0"/>
    <n v="0"/>
    <n v="0"/>
    <n v="0"/>
    <n v="67.900000000000006"/>
  </r>
  <r>
    <x v="661"/>
    <d v="2025-04-23T00:00:00"/>
    <x v="0"/>
    <x v="3"/>
    <s v="Mobile"/>
    <s v="Referral"/>
    <s v="Free"/>
    <n v="0"/>
    <n v="0"/>
    <n v="0"/>
    <n v="0"/>
    <n v="0"/>
    <n v="0"/>
    <n v="0"/>
    <n v="0"/>
    <n v="50.1"/>
  </r>
  <r>
    <x v="662"/>
    <d v="2025-05-26T00:00:00"/>
    <x v="0"/>
    <x v="0"/>
    <s v="Mobile"/>
    <s v="Paid Search"/>
    <s v="Basic"/>
    <n v="0"/>
    <n v="0"/>
    <n v="0"/>
    <n v="0"/>
    <n v="0"/>
    <n v="0"/>
    <n v="0"/>
    <n v="0"/>
    <n v="67.8"/>
  </r>
  <r>
    <x v="663"/>
    <d v="2025-03-17T00:00:00"/>
    <x v="0"/>
    <x v="0"/>
    <s v="Desktop"/>
    <s v="Social"/>
    <s v="Basic"/>
    <n v="1"/>
    <n v="1"/>
    <n v="1"/>
    <n v="0"/>
    <n v="0"/>
    <n v="0"/>
    <n v="0"/>
    <n v="0"/>
    <n v="60.8"/>
  </r>
  <r>
    <x v="664"/>
    <d v="2025-05-17T00:00:00"/>
    <x v="0"/>
    <x v="0"/>
    <s v="Desktop"/>
    <s v="Paid Search"/>
    <s v="Basic"/>
    <n v="1"/>
    <n v="0"/>
    <n v="0"/>
    <n v="0"/>
    <n v="0"/>
    <n v="3"/>
    <n v="0"/>
    <n v="0"/>
    <n v="33.700000000000003"/>
  </r>
  <r>
    <x v="665"/>
    <d v="2025-02-21T00:00:00"/>
    <x v="0"/>
    <x v="0"/>
    <s v="Mobile"/>
    <s v="Paid Search"/>
    <s v="Basic"/>
    <n v="0"/>
    <n v="0"/>
    <n v="0"/>
    <n v="0"/>
    <n v="0"/>
    <n v="0"/>
    <n v="0"/>
    <n v="0"/>
    <n v="45.2"/>
  </r>
  <r>
    <x v="666"/>
    <d v="2025-02-25T00:00:00"/>
    <x v="0"/>
    <x v="2"/>
    <s v="Desktop"/>
    <s v="Paid Search"/>
    <s v="Premium"/>
    <n v="0"/>
    <n v="0"/>
    <n v="0"/>
    <n v="0"/>
    <n v="0"/>
    <n v="0"/>
    <n v="0"/>
    <n v="0"/>
    <n v="48.2"/>
  </r>
  <r>
    <x v="667"/>
    <d v="2025-01-30T00:00:00"/>
    <x v="0"/>
    <x v="3"/>
    <s v="Mobile"/>
    <s v="Social"/>
    <s v="Free"/>
    <n v="1"/>
    <n v="1"/>
    <n v="0"/>
    <n v="0"/>
    <n v="0"/>
    <n v="1"/>
    <n v="0"/>
    <n v="0"/>
    <n v="44.8"/>
  </r>
  <r>
    <x v="668"/>
    <d v="2025-02-17T00:00:00"/>
    <x v="0"/>
    <x v="0"/>
    <s v="Tablet"/>
    <s v="Social"/>
    <s v="Basic"/>
    <n v="0"/>
    <n v="0"/>
    <n v="0"/>
    <n v="0"/>
    <n v="0"/>
    <n v="0"/>
    <n v="0"/>
    <n v="0"/>
    <n v="52.1"/>
  </r>
  <r>
    <x v="669"/>
    <d v="2025-05-17T00:00:00"/>
    <x v="0"/>
    <x v="0"/>
    <s v="Desktop"/>
    <s v="Paid Search"/>
    <s v="Basic"/>
    <n v="1"/>
    <n v="0"/>
    <n v="0"/>
    <n v="0"/>
    <n v="0"/>
    <n v="0"/>
    <n v="0"/>
    <n v="0"/>
    <n v="30.7"/>
  </r>
  <r>
    <x v="670"/>
    <d v="2025-04-30T00:00:00"/>
    <x v="0"/>
    <x v="2"/>
    <s v="Desktop"/>
    <s v="Paid Search"/>
    <s v="Free"/>
    <n v="1"/>
    <n v="0"/>
    <n v="0"/>
    <n v="0"/>
    <n v="0"/>
    <n v="0"/>
    <n v="0"/>
    <n v="0"/>
    <n v="58.4"/>
  </r>
  <r>
    <x v="671"/>
    <d v="2025-03-22T00:00:00"/>
    <x v="0"/>
    <x v="1"/>
    <s v="Mobile"/>
    <s v="Referral"/>
    <s v="Free"/>
    <n v="1"/>
    <n v="1"/>
    <n v="0"/>
    <n v="0"/>
    <n v="0"/>
    <n v="0"/>
    <n v="0"/>
    <n v="0"/>
    <n v="52.6"/>
  </r>
  <r>
    <x v="672"/>
    <d v="2025-01-10T00:00:00"/>
    <x v="0"/>
    <x v="1"/>
    <s v="Unknown"/>
    <s v="Paid Search"/>
    <s v="Free"/>
    <n v="1"/>
    <n v="0"/>
    <n v="0"/>
    <n v="0"/>
    <n v="0"/>
    <n v="1"/>
    <n v="0"/>
    <n v="0"/>
    <n v="19.100000000000001"/>
  </r>
  <r>
    <x v="673"/>
    <d v="2025-03-21T00:00:00"/>
    <x v="0"/>
    <x v="3"/>
    <s v="Unknown"/>
    <s v="Paid Search"/>
    <s v="Free"/>
    <n v="1"/>
    <n v="0"/>
    <n v="0"/>
    <n v="0"/>
    <n v="0"/>
    <n v="0"/>
    <n v="0"/>
    <n v="0"/>
    <n v="36.799999999999997"/>
  </r>
  <r>
    <x v="674"/>
    <d v="2025-05-12T00:00:00"/>
    <x v="0"/>
    <x v="0"/>
    <s v="Desktop"/>
    <s v="Paid Search"/>
    <s v="Basic"/>
    <n v="0"/>
    <n v="0"/>
    <n v="0"/>
    <n v="0"/>
    <n v="0"/>
    <n v="0"/>
    <n v="0"/>
    <n v="0"/>
    <n v="68.5"/>
  </r>
  <r>
    <x v="675"/>
    <d v="2025-05-24T00:00:00"/>
    <x v="0"/>
    <x v="1"/>
    <s v="Mobile"/>
    <s v="Paid Search"/>
    <s v="Free"/>
    <n v="1"/>
    <n v="1"/>
    <n v="1"/>
    <n v="0"/>
    <n v="0"/>
    <n v="0"/>
    <n v="0"/>
    <n v="0"/>
    <n v="40.1"/>
  </r>
  <r>
    <x v="676"/>
    <d v="2025-05-03T00:00:00"/>
    <x v="0"/>
    <x v="1"/>
    <s v="Tablet"/>
    <s v="Organic"/>
    <s v="Free"/>
    <n v="1"/>
    <n v="0"/>
    <n v="0"/>
    <n v="0"/>
    <n v="0"/>
    <n v="0"/>
    <n v="0"/>
    <n v="0"/>
    <n v="47.5"/>
  </r>
  <r>
    <x v="677"/>
    <d v="2025-01-14T00:00:00"/>
    <x v="0"/>
    <x v="3"/>
    <s v="Mobile"/>
    <s v="Organic"/>
    <s v="Basic"/>
    <n v="1"/>
    <n v="0"/>
    <n v="0"/>
    <n v="0"/>
    <n v="0"/>
    <n v="0"/>
    <n v="0"/>
    <n v="0"/>
    <n v="77.099999999999994"/>
  </r>
  <r>
    <x v="678"/>
    <d v="2025-03-27T00:00:00"/>
    <x v="0"/>
    <x v="1"/>
    <s v="Mobile"/>
    <s v="Social"/>
    <s v="Basic"/>
    <n v="1"/>
    <n v="0"/>
    <n v="0"/>
    <n v="0"/>
    <n v="0"/>
    <n v="0"/>
    <n v="0"/>
    <n v="0"/>
    <n v="75.900000000000006"/>
  </r>
  <r>
    <x v="679"/>
    <d v="2025-02-28T00:00:00"/>
    <x v="0"/>
    <x v="0"/>
    <s v="Desktop"/>
    <s v="Referral"/>
    <s v="Premium"/>
    <n v="0"/>
    <n v="0"/>
    <n v="0"/>
    <n v="0"/>
    <n v="0"/>
    <n v="1"/>
    <n v="0"/>
    <n v="0"/>
    <n v="52"/>
  </r>
  <r>
    <x v="680"/>
    <d v="2025-05-12T00:00:00"/>
    <x v="0"/>
    <x v="1"/>
    <s v="Desktop"/>
    <s v="Referral"/>
    <s v="Premium"/>
    <n v="1"/>
    <n v="1"/>
    <n v="1"/>
    <n v="0"/>
    <n v="0"/>
    <n v="0"/>
    <n v="0"/>
    <n v="0"/>
    <n v="64.900000000000006"/>
  </r>
  <r>
    <x v="681"/>
    <d v="2025-03-14T00:00:00"/>
    <x v="0"/>
    <x v="0"/>
    <s v="Mobile"/>
    <s v="Organic"/>
    <s v="Free"/>
    <n v="1"/>
    <n v="0"/>
    <n v="0"/>
    <n v="0"/>
    <n v="0"/>
    <n v="0"/>
    <n v="0"/>
    <n v="0"/>
    <n v="48.2"/>
  </r>
  <r>
    <x v="682"/>
    <d v="2025-05-20T00:00:00"/>
    <x v="0"/>
    <x v="2"/>
    <s v="Mobile"/>
    <s v="Organic"/>
    <s v="Basic"/>
    <n v="0"/>
    <n v="0"/>
    <n v="0"/>
    <n v="0"/>
    <n v="0"/>
    <n v="0"/>
    <n v="0"/>
    <n v="0"/>
    <n v="42.1"/>
  </r>
  <r>
    <x v="683"/>
    <d v="2025-02-24T00:00:00"/>
    <x v="0"/>
    <x v="3"/>
    <s v="Desktop"/>
    <s v="Referral"/>
    <s v="Free"/>
    <n v="0"/>
    <n v="0"/>
    <n v="0"/>
    <n v="0"/>
    <n v="0"/>
    <n v="0"/>
    <n v="0"/>
    <n v="0"/>
    <n v="27.6"/>
  </r>
  <r>
    <x v="684"/>
    <d v="2025-02-13T00:00:00"/>
    <x v="0"/>
    <x v="1"/>
    <s v="Mobile"/>
    <s v="Organic"/>
    <s v="Premium"/>
    <n v="1"/>
    <n v="0"/>
    <n v="0"/>
    <n v="0"/>
    <n v="0"/>
    <n v="1"/>
    <n v="0"/>
    <n v="0"/>
    <n v="68.5"/>
  </r>
  <r>
    <x v="685"/>
    <d v="2025-02-06T00:00:00"/>
    <x v="0"/>
    <x v="3"/>
    <s v="Desktop"/>
    <s v="Organic"/>
    <s v="Free"/>
    <n v="1"/>
    <n v="1"/>
    <n v="1"/>
    <n v="0"/>
    <n v="0"/>
    <n v="0"/>
    <n v="0"/>
    <n v="0"/>
    <n v="59.2"/>
  </r>
  <r>
    <x v="686"/>
    <d v="2025-03-02T00:00:00"/>
    <x v="0"/>
    <x v="0"/>
    <s v="Mobile"/>
    <s v="Social"/>
    <s v="Basic"/>
    <n v="1"/>
    <n v="0"/>
    <n v="0"/>
    <n v="0"/>
    <n v="0"/>
    <n v="0"/>
    <n v="0"/>
    <n v="0"/>
    <n v="63.3"/>
  </r>
  <r>
    <x v="687"/>
    <d v="2025-04-28T00:00:00"/>
    <x v="0"/>
    <x v="2"/>
    <s v="Desktop"/>
    <s v="Paid Search"/>
    <s v="Free"/>
    <n v="0"/>
    <n v="0"/>
    <n v="0"/>
    <n v="0"/>
    <n v="0"/>
    <n v="0"/>
    <n v="0"/>
    <n v="0"/>
    <n v="55"/>
  </r>
  <r>
    <x v="688"/>
    <d v="2025-05-27T00:00:00"/>
    <x v="0"/>
    <x v="0"/>
    <s v="Desktop"/>
    <s v="Unknown"/>
    <s v="Premium"/>
    <n v="1"/>
    <n v="0"/>
    <n v="0"/>
    <n v="0"/>
    <n v="0"/>
    <n v="0"/>
    <n v="0"/>
    <n v="0"/>
    <n v="64.8"/>
  </r>
  <r>
    <x v="689"/>
    <d v="2025-04-07T00:00:00"/>
    <x v="0"/>
    <x v="3"/>
    <s v="Desktop"/>
    <s v="Organic"/>
    <s v="Basic"/>
    <n v="0"/>
    <n v="0"/>
    <n v="0"/>
    <n v="0"/>
    <n v="0"/>
    <n v="2"/>
    <n v="0"/>
    <n v="0"/>
    <n v="41.8"/>
  </r>
  <r>
    <x v="690"/>
    <d v="2025-04-14T00:00:00"/>
    <x v="1"/>
    <x v="2"/>
    <s v="Desktop"/>
    <s v="Social"/>
    <s v="Basic"/>
    <n v="1"/>
    <n v="0"/>
    <n v="0"/>
    <n v="0"/>
    <n v="0"/>
    <n v="0"/>
    <n v="0"/>
    <n v="0"/>
    <n v="73.2"/>
  </r>
  <r>
    <x v="691"/>
    <d v="2025-05-09T00:00:00"/>
    <x v="1"/>
    <x v="2"/>
    <s v="Desktop"/>
    <s v="Organic"/>
    <s v="Basic"/>
    <n v="1"/>
    <n v="1"/>
    <n v="1"/>
    <n v="0"/>
    <n v="0"/>
    <n v="3"/>
    <n v="0"/>
    <n v="0"/>
    <n v="55.7"/>
  </r>
  <r>
    <x v="692"/>
    <d v="2025-03-21T00:00:00"/>
    <x v="1"/>
    <x v="0"/>
    <s v="Mobile"/>
    <s v="Organic"/>
    <s v="Free"/>
    <n v="1"/>
    <n v="1"/>
    <n v="1"/>
    <n v="0"/>
    <n v="0"/>
    <n v="0"/>
    <n v="0"/>
    <n v="0"/>
    <n v="82.8"/>
  </r>
  <r>
    <x v="693"/>
    <d v="2025-03-27T00:00:00"/>
    <x v="1"/>
    <x v="0"/>
    <s v="Desktop"/>
    <s v="Social"/>
    <s v="Free"/>
    <n v="1"/>
    <n v="0"/>
    <n v="0"/>
    <n v="0"/>
    <n v="0"/>
    <n v="0"/>
    <n v="0"/>
    <n v="0"/>
    <n v="0"/>
  </r>
  <r>
    <x v="694"/>
    <d v="2025-01-21T00:00:00"/>
    <x v="1"/>
    <x v="3"/>
    <s v="Mobile"/>
    <s v="Paid Search"/>
    <s v="Free"/>
    <n v="0"/>
    <n v="0"/>
    <n v="0"/>
    <n v="0"/>
    <n v="0"/>
    <n v="0"/>
    <n v="0"/>
    <n v="0"/>
    <n v="34.4"/>
  </r>
  <r>
    <x v="695"/>
    <d v="2025-03-19T00:00:00"/>
    <x v="1"/>
    <x v="2"/>
    <s v="Desktop"/>
    <s v="Email"/>
    <s v="Free"/>
    <n v="1"/>
    <n v="0"/>
    <n v="0"/>
    <n v="0"/>
    <n v="0"/>
    <n v="0"/>
    <n v="0"/>
    <n v="0"/>
    <n v="45.2"/>
  </r>
  <r>
    <x v="696"/>
    <d v="2025-05-27T00:00:00"/>
    <x v="1"/>
    <x v="0"/>
    <s v="Mobile"/>
    <s v="Organic"/>
    <s v="Basic"/>
    <n v="1"/>
    <n v="0"/>
    <n v="0"/>
    <n v="0"/>
    <n v="0"/>
    <n v="0"/>
    <n v="0"/>
    <n v="0"/>
    <n v="71.599999999999994"/>
  </r>
  <r>
    <x v="697"/>
    <d v="2025-01-01T00:00:00"/>
    <x v="1"/>
    <x v="0"/>
    <s v="Mobile"/>
    <s v="Social"/>
    <s v="Free"/>
    <n v="1"/>
    <n v="1"/>
    <n v="1"/>
    <n v="0"/>
    <n v="0"/>
    <n v="0"/>
    <n v="0"/>
    <n v="0"/>
    <n v="69.099999999999994"/>
  </r>
  <r>
    <x v="698"/>
    <d v="2025-03-29T00:00:00"/>
    <x v="1"/>
    <x v="1"/>
    <s v="Desktop"/>
    <s v="Paid Search"/>
    <s v="Premium"/>
    <n v="1"/>
    <n v="0"/>
    <n v="0"/>
    <n v="0"/>
    <n v="0"/>
    <n v="1"/>
    <n v="0"/>
    <n v="0"/>
    <n v="37.700000000000003"/>
  </r>
  <r>
    <x v="699"/>
    <d v="2025-03-17T00:00:00"/>
    <x v="1"/>
    <x v="1"/>
    <s v="Desktop"/>
    <s v="Organic"/>
    <s v="Basic"/>
    <n v="1"/>
    <n v="0"/>
    <n v="0"/>
    <n v="0"/>
    <n v="0"/>
    <n v="1"/>
    <n v="0"/>
    <n v="0"/>
    <n v="60.8"/>
  </r>
  <r>
    <x v="700"/>
    <d v="2025-05-05T00:00:00"/>
    <x v="1"/>
    <x v="0"/>
    <s v="Mobile"/>
    <s v="Organic"/>
    <s v="Free"/>
    <n v="1"/>
    <n v="1"/>
    <n v="1"/>
    <n v="1"/>
    <n v="444.13"/>
    <n v="0"/>
    <n v="0"/>
    <n v="10"/>
    <n v="80.7"/>
  </r>
  <r>
    <x v="701"/>
    <d v="2025-05-04T00:00:00"/>
    <x v="1"/>
    <x v="3"/>
    <s v="Mobile"/>
    <s v="Social"/>
    <s v="Free"/>
    <n v="1"/>
    <n v="0"/>
    <n v="0"/>
    <n v="0"/>
    <n v="0"/>
    <n v="0"/>
    <n v="0"/>
    <n v="0"/>
    <n v="69.2"/>
  </r>
  <r>
    <x v="702"/>
    <d v="2025-03-25T00:00:00"/>
    <x v="1"/>
    <x v="0"/>
    <s v="Mobile"/>
    <s v="Social"/>
    <s v="Premium"/>
    <n v="0"/>
    <n v="0"/>
    <n v="0"/>
    <n v="0"/>
    <n v="0"/>
    <n v="3"/>
    <n v="0"/>
    <n v="0"/>
    <n v="55"/>
  </r>
  <r>
    <x v="703"/>
    <d v="2025-04-17T00:00:00"/>
    <x v="1"/>
    <x v="1"/>
    <s v="Mobile"/>
    <s v="Email"/>
    <s v="Free"/>
    <n v="0"/>
    <n v="0"/>
    <n v="0"/>
    <n v="0"/>
    <n v="0"/>
    <n v="1"/>
    <n v="0"/>
    <n v="0"/>
    <n v="73.599999999999994"/>
  </r>
  <r>
    <x v="704"/>
    <d v="2025-05-23T00:00:00"/>
    <x v="1"/>
    <x v="3"/>
    <s v="Mobile"/>
    <s v="Referral"/>
    <s v="Basic"/>
    <n v="1"/>
    <n v="1"/>
    <n v="1"/>
    <n v="0"/>
    <n v="0"/>
    <n v="1"/>
    <n v="0"/>
    <n v="0"/>
    <n v="47.3"/>
  </r>
  <r>
    <x v="705"/>
    <d v="2025-01-13T00:00:00"/>
    <x v="1"/>
    <x v="0"/>
    <s v="Mobile"/>
    <s v="Organic"/>
    <s v="Basic"/>
    <n v="0"/>
    <n v="0"/>
    <n v="0"/>
    <n v="0"/>
    <n v="0"/>
    <n v="0"/>
    <n v="0"/>
    <n v="0"/>
    <n v="43.6"/>
  </r>
  <r>
    <x v="706"/>
    <d v="2025-01-29T00:00:00"/>
    <x v="1"/>
    <x v="0"/>
    <s v="Desktop"/>
    <s v="Organic"/>
    <s v="Basic"/>
    <n v="1"/>
    <n v="0"/>
    <n v="0"/>
    <n v="0"/>
    <n v="0"/>
    <n v="0"/>
    <n v="0"/>
    <n v="0"/>
    <n v="0"/>
  </r>
  <r>
    <x v="707"/>
    <d v="2025-05-11T00:00:00"/>
    <x v="1"/>
    <x v="3"/>
    <s v="Mobile"/>
    <s v="Email"/>
    <s v="Free"/>
    <n v="0"/>
    <n v="0"/>
    <n v="0"/>
    <n v="0"/>
    <n v="0"/>
    <n v="0"/>
    <n v="0"/>
    <n v="0"/>
    <n v="55.2"/>
  </r>
  <r>
    <x v="708"/>
    <d v="2025-04-22T00:00:00"/>
    <x v="1"/>
    <x v="3"/>
    <s v="Mobile"/>
    <s v="Organic"/>
    <s v="Basic"/>
    <n v="1"/>
    <n v="0"/>
    <n v="0"/>
    <n v="0"/>
    <n v="0"/>
    <n v="0"/>
    <n v="0"/>
    <n v="0"/>
    <n v="49.4"/>
  </r>
  <r>
    <x v="709"/>
    <d v="2025-03-03T00:00:00"/>
    <x v="1"/>
    <x v="3"/>
    <s v="Mobile"/>
    <s v="Social"/>
    <s v="Free"/>
    <n v="1"/>
    <n v="1"/>
    <n v="1"/>
    <n v="0"/>
    <n v="0"/>
    <n v="1"/>
    <n v="0"/>
    <n v="0"/>
    <n v="60.1"/>
  </r>
  <r>
    <x v="710"/>
    <d v="2025-03-18T00:00:00"/>
    <x v="1"/>
    <x v="0"/>
    <s v="Mobile"/>
    <s v="Referral"/>
    <s v="Free"/>
    <n v="1"/>
    <n v="0"/>
    <n v="0"/>
    <n v="0"/>
    <n v="0"/>
    <n v="0"/>
    <n v="0"/>
    <n v="0"/>
    <n v="55.9"/>
  </r>
  <r>
    <x v="711"/>
    <d v="2025-04-05T00:00:00"/>
    <x v="1"/>
    <x v="0"/>
    <s v="Mobile"/>
    <s v="Organic"/>
    <s v="Basic"/>
    <n v="1"/>
    <n v="0"/>
    <n v="0"/>
    <n v="0"/>
    <n v="0"/>
    <n v="0"/>
    <n v="0"/>
    <n v="0"/>
    <n v="51.5"/>
  </r>
  <r>
    <x v="712"/>
    <d v="2025-04-16T00:00:00"/>
    <x v="1"/>
    <x v="2"/>
    <s v="Mobile"/>
    <s v="Organic"/>
    <s v="Free"/>
    <n v="1"/>
    <n v="1"/>
    <n v="1"/>
    <n v="1"/>
    <n v="516.66999999999996"/>
    <n v="0"/>
    <n v="0"/>
    <n v="11"/>
    <n v="57.9"/>
  </r>
  <r>
    <x v="713"/>
    <d v="2025-04-20T00:00:00"/>
    <x v="1"/>
    <x v="3"/>
    <s v="Mobile"/>
    <s v="Referral"/>
    <s v="Free"/>
    <n v="1"/>
    <n v="1"/>
    <n v="1"/>
    <n v="1"/>
    <n v="277.18"/>
    <n v="2"/>
    <n v="0"/>
    <n v="8"/>
    <n v="59.2"/>
  </r>
  <r>
    <x v="714"/>
    <d v="2025-02-15T00:00:00"/>
    <x v="1"/>
    <x v="3"/>
    <s v="Mobile"/>
    <s v="Organic"/>
    <s v="Free"/>
    <n v="0"/>
    <n v="0"/>
    <n v="0"/>
    <n v="0"/>
    <n v="0"/>
    <n v="0"/>
    <n v="0"/>
    <n v="0"/>
    <n v="64.2"/>
  </r>
  <r>
    <x v="715"/>
    <d v="2025-01-21T00:00:00"/>
    <x v="1"/>
    <x v="3"/>
    <s v="Mobile"/>
    <s v="Organic"/>
    <s v="Free"/>
    <n v="1"/>
    <n v="0"/>
    <n v="0"/>
    <n v="0"/>
    <n v="0"/>
    <n v="0"/>
    <n v="0"/>
    <n v="0"/>
    <n v="68.8"/>
  </r>
  <r>
    <x v="716"/>
    <d v="2025-05-23T00:00:00"/>
    <x v="1"/>
    <x v="0"/>
    <s v="Mobile"/>
    <s v="Paid Search"/>
    <s v="Premium"/>
    <n v="1"/>
    <n v="1"/>
    <n v="1"/>
    <n v="0"/>
    <n v="0"/>
    <n v="0"/>
    <n v="0"/>
    <n v="0"/>
    <n v="77.900000000000006"/>
  </r>
  <r>
    <x v="717"/>
    <d v="2025-01-22T00:00:00"/>
    <x v="1"/>
    <x v="1"/>
    <s v="Mobile"/>
    <s v="Paid Search"/>
    <s v="Basic"/>
    <n v="0"/>
    <n v="0"/>
    <n v="0"/>
    <n v="0"/>
    <n v="0"/>
    <n v="0"/>
    <n v="0"/>
    <n v="0"/>
    <n v="92.1"/>
  </r>
  <r>
    <x v="718"/>
    <d v="2025-04-24T00:00:00"/>
    <x v="1"/>
    <x v="1"/>
    <s v="Mobile"/>
    <s v="Paid Search"/>
    <s v="Premium"/>
    <n v="0"/>
    <n v="0"/>
    <n v="0"/>
    <n v="0"/>
    <n v="0"/>
    <n v="0"/>
    <n v="0"/>
    <n v="0"/>
    <n v="63.6"/>
  </r>
  <r>
    <x v="719"/>
    <d v="2025-01-17T00:00:00"/>
    <x v="1"/>
    <x v="1"/>
    <s v="Desktop"/>
    <s v="Email"/>
    <s v="Free"/>
    <n v="0"/>
    <n v="0"/>
    <n v="0"/>
    <n v="0"/>
    <n v="0"/>
    <n v="2"/>
    <n v="0"/>
    <n v="0"/>
    <n v="61.6"/>
  </r>
  <r>
    <x v="720"/>
    <d v="2025-01-22T00:00:00"/>
    <x v="1"/>
    <x v="2"/>
    <s v="Mobile"/>
    <s v="Referral"/>
    <s v="Basic"/>
    <n v="1"/>
    <n v="1"/>
    <n v="0"/>
    <n v="0"/>
    <n v="0"/>
    <n v="0"/>
    <n v="0"/>
    <n v="0"/>
    <n v="82.3"/>
  </r>
  <r>
    <x v="721"/>
    <d v="2025-05-04T00:00:00"/>
    <x v="1"/>
    <x v="2"/>
    <s v="Desktop"/>
    <s v="Paid Search"/>
    <s v="Free"/>
    <n v="1"/>
    <n v="0"/>
    <n v="0"/>
    <n v="0"/>
    <n v="0"/>
    <n v="0"/>
    <n v="0"/>
    <n v="0"/>
    <n v="79.3"/>
  </r>
  <r>
    <x v="722"/>
    <d v="2025-03-13T00:00:00"/>
    <x v="1"/>
    <x v="3"/>
    <s v="Mobile"/>
    <s v="Unknown"/>
    <s v="Free"/>
    <n v="0"/>
    <n v="0"/>
    <n v="0"/>
    <n v="0"/>
    <n v="0"/>
    <n v="0"/>
    <n v="0"/>
    <n v="0"/>
    <n v="57.7"/>
  </r>
  <r>
    <x v="723"/>
    <d v="2025-01-02T00:00:00"/>
    <x v="1"/>
    <x v="0"/>
    <s v="Mobile"/>
    <s v="Organic"/>
    <s v="Basic"/>
    <n v="1"/>
    <n v="0"/>
    <n v="0"/>
    <n v="0"/>
    <n v="0"/>
    <n v="0"/>
    <n v="0"/>
    <n v="0"/>
    <n v="63.1"/>
  </r>
  <r>
    <x v="724"/>
    <d v="2025-01-13T00:00:00"/>
    <x v="1"/>
    <x v="2"/>
    <s v="Mobile"/>
    <s v="Paid Search"/>
    <s v="Basic"/>
    <n v="0"/>
    <n v="0"/>
    <n v="0"/>
    <n v="0"/>
    <n v="0"/>
    <n v="0"/>
    <n v="0"/>
    <n v="0"/>
    <n v="72.3"/>
  </r>
  <r>
    <x v="725"/>
    <d v="2025-02-09T00:00:00"/>
    <x v="1"/>
    <x v="2"/>
    <s v="Mobile"/>
    <s v="Social"/>
    <s v="Free"/>
    <n v="1"/>
    <n v="1"/>
    <n v="1"/>
    <n v="0"/>
    <n v="0"/>
    <n v="0"/>
    <n v="0"/>
    <n v="0"/>
    <n v="78"/>
  </r>
  <r>
    <x v="726"/>
    <d v="2025-04-09T00:00:00"/>
    <x v="1"/>
    <x v="2"/>
    <s v="Desktop"/>
    <s v="Social"/>
    <s v="Free"/>
    <n v="1"/>
    <n v="1"/>
    <n v="0"/>
    <n v="0"/>
    <n v="0"/>
    <n v="2"/>
    <n v="0"/>
    <n v="0"/>
    <n v="59.1"/>
  </r>
  <r>
    <x v="727"/>
    <d v="2025-01-02T00:00:00"/>
    <x v="1"/>
    <x v="3"/>
    <s v="Mobile"/>
    <s v="Paid Search"/>
    <s v="Free"/>
    <n v="1"/>
    <n v="1"/>
    <n v="1"/>
    <n v="1"/>
    <n v="604.09"/>
    <n v="0"/>
    <n v="0"/>
    <n v="7"/>
    <n v="47.1"/>
  </r>
  <r>
    <x v="728"/>
    <d v="2025-02-04T00:00:00"/>
    <x v="1"/>
    <x v="3"/>
    <s v="Mobile"/>
    <s v="Unknown"/>
    <s v="Premium"/>
    <n v="1"/>
    <n v="0"/>
    <n v="0"/>
    <n v="0"/>
    <n v="0"/>
    <n v="0"/>
    <n v="0"/>
    <n v="0"/>
    <n v="64.900000000000006"/>
  </r>
  <r>
    <x v="729"/>
    <d v="2025-02-19T00:00:00"/>
    <x v="1"/>
    <x v="3"/>
    <s v="Tablet"/>
    <s v="Paid Search"/>
    <s v="Free"/>
    <n v="0"/>
    <n v="0"/>
    <n v="0"/>
    <n v="0"/>
    <n v="0"/>
    <n v="0"/>
    <n v="0"/>
    <n v="0"/>
    <n v="67.3"/>
  </r>
  <r>
    <x v="730"/>
    <d v="2025-04-01T00:00:00"/>
    <x v="1"/>
    <x v="2"/>
    <s v="Mobile"/>
    <s v="Paid Search"/>
    <s v="Basic"/>
    <n v="1"/>
    <n v="0"/>
    <n v="0"/>
    <n v="0"/>
    <n v="0"/>
    <n v="2"/>
    <n v="0"/>
    <n v="0"/>
    <n v="52.9"/>
  </r>
  <r>
    <x v="731"/>
    <d v="2025-01-29T00:00:00"/>
    <x v="1"/>
    <x v="0"/>
    <s v="Mobile"/>
    <s v="Referral"/>
    <s v="Free"/>
    <n v="1"/>
    <n v="1"/>
    <n v="1"/>
    <n v="1"/>
    <n v="442.37"/>
    <n v="1"/>
    <n v="0"/>
    <n v="4"/>
    <n v="69.900000000000006"/>
  </r>
  <r>
    <x v="732"/>
    <d v="2025-05-18T00:00:00"/>
    <x v="1"/>
    <x v="0"/>
    <s v="Mobile"/>
    <s v="Referral"/>
    <s v="Basic"/>
    <n v="1"/>
    <n v="1"/>
    <n v="1"/>
    <n v="0"/>
    <n v="0"/>
    <n v="0"/>
    <n v="0"/>
    <n v="0"/>
    <n v="78.900000000000006"/>
  </r>
  <r>
    <x v="733"/>
    <d v="2025-04-15T00:00:00"/>
    <x v="1"/>
    <x v="2"/>
    <s v="Desktop"/>
    <s v="Social"/>
    <s v="Premium"/>
    <n v="1"/>
    <n v="1"/>
    <n v="0"/>
    <n v="0"/>
    <n v="0"/>
    <n v="0"/>
    <n v="0"/>
    <n v="0"/>
    <n v="83.3"/>
  </r>
  <r>
    <x v="734"/>
    <d v="2025-03-28T00:00:00"/>
    <x v="1"/>
    <x v="2"/>
    <s v="Desktop"/>
    <s v="Email"/>
    <s v="Free"/>
    <n v="1"/>
    <n v="0"/>
    <n v="0"/>
    <n v="0"/>
    <n v="0"/>
    <n v="1"/>
    <n v="0"/>
    <n v="0"/>
    <n v="24.5"/>
  </r>
  <r>
    <x v="735"/>
    <d v="2025-04-01T00:00:00"/>
    <x v="1"/>
    <x v="1"/>
    <s v="Mobile"/>
    <s v="Paid Search"/>
    <s v="Basic"/>
    <n v="1"/>
    <n v="1"/>
    <n v="0"/>
    <n v="0"/>
    <n v="0"/>
    <n v="1"/>
    <n v="0"/>
    <n v="0"/>
    <n v="56.9"/>
  </r>
  <r>
    <x v="736"/>
    <d v="2025-02-11T00:00:00"/>
    <x v="1"/>
    <x v="1"/>
    <s v="Mobile"/>
    <s v="Social"/>
    <s v="Basic"/>
    <n v="1"/>
    <n v="0"/>
    <n v="0"/>
    <n v="0"/>
    <n v="0"/>
    <n v="0"/>
    <n v="0"/>
    <n v="0"/>
    <n v="69.900000000000006"/>
  </r>
  <r>
    <x v="737"/>
    <d v="2025-03-04T00:00:00"/>
    <x v="1"/>
    <x v="3"/>
    <s v="Mobile"/>
    <s v="Organic"/>
    <s v="Free"/>
    <n v="1"/>
    <n v="1"/>
    <n v="1"/>
    <n v="0"/>
    <n v="0"/>
    <n v="0"/>
    <n v="0"/>
    <n v="0"/>
    <n v="81.5"/>
  </r>
  <r>
    <x v="738"/>
    <d v="2025-01-21T00:00:00"/>
    <x v="1"/>
    <x v="0"/>
    <s v="Tablet"/>
    <s v="Social"/>
    <s v="Basic"/>
    <n v="0"/>
    <n v="0"/>
    <n v="0"/>
    <n v="0"/>
    <n v="0"/>
    <n v="2"/>
    <n v="0"/>
    <n v="0"/>
    <n v="37.9"/>
  </r>
  <r>
    <x v="739"/>
    <d v="2025-02-14T00:00:00"/>
    <x v="1"/>
    <x v="0"/>
    <s v="Mobile"/>
    <s v="Referral"/>
    <s v="Free"/>
    <n v="0"/>
    <n v="0"/>
    <n v="0"/>
    <n v="0"/>
    <n v="0"/>
    <n v="1"/>
    <n v="0"/>
    <n v="0"/>
    <n v="61.7"/>
  </r>
  <r>
    <x v="740"/>
    <d v="2025-03-30T00:00:00"/>
    <x v="1"/>
    <x v="0"/>
    <s v="Desktop"/>
    <s v="Unknown"/>
    <s v="Premium"/>
    <n v="1"/>
    <n v="0"/>
    <n v="0"/>
    <n v="0"/>
    <n v="0"/>
    <n v="2"/>
    <n v="0"/>
    <n v="0"/>
    <n v="53.2"/>
  </r>
  <r>
    <x v="741"/>
    <d v="2025-01-08T00:00:00"/>
    <x v="1"/>
    <x v="0"/>
    <s v="Mobile"/>
    <s v="Referral"/>
    <s v="Free"/>
    <n v="0"/>
    <n v="0"/>
    <n v="0"/>
    <n v="0"/>
    <n v="0"/>
    <n v="0"/>
    <n v="0"/>
    <n v="0"/>
    <n v="61.9"/>
  </r>
  <r>
    <x v="742"/>
    <d v="2025-02-07T00:00:00"/>
    <x v="1"/>
    <x v="0"/>
    <s v="Mobile"/>
    <s v="Social"/>
    <s v="Free"/>
    <n v="1"/>
    <n v="1"/>
    <n v="1"/>
    <n v="0"/>
    <n v="0"/>
    <n v="0"/>
    <n v="0"/>
    <n v="0"/>
    <n v="68.900000000000006"/>
  </r>
  <r>
    <x v="743"/>
    <d v="2025-02-01T00:00:00"/>
    <x v="1"/>
    <x v="0"/>
    <s v="Tablet"/>
    <s v="Paid Search"/>
    <s v="Basic"/>
    <n v="0"/>
    <n v="0"/>
    <n v="0"/>
    <n v="0"/>
    <n v="0"/>
    <n v="0"/>
    <n v="0"/>
    <n v="0"/>
    <n v="66.3"/>
  </r>
  <r>
    <x v="744"/>
    <d v="2025-01-04T00:00:00"/>
    <x v="1"/>
    <x v="2"/>
    <s v="Mobile"/>
    <s v="Email"/>
    <s v="Free"/>
    <n v="1"/>
    <n v="1"/>
    <n v="1"/>
    <n v="0"/>
    <n v="0"/>
    <n v="0"/>
    <n v="0"/>
    <n v="0"/>
    <n v="54.6"/>
  </r>
  <r>
    <x v="745"/>
    <d v="2025-05-16T00:00:00"/>
    <x v="1"/>
    <x v="3"/>
    <s v="Desktop"/>
    <s v="Referral"/>
    <s v="Free"/>
    <n v="0"/>
    <n v="0"/>
    <n v="0"/>
    <n v="0"/>
    <n v="0"/>
    <n v="0"/>
    <n v="0"/>
    <n v="0"/>
    <n v="53.8"/>
  </r>
  <r>
    <x v="746"/>
    <d v="2025-02-28T00:00:00"/>
    <x v="1"/>
    <x v="1"/>
    <s v="Mobile"/>
    <s v="Referral"/>
    <s v="Free"/>
    <n v="1"/>
    <n v="0"/>
    <n v="0"/>
    <n v="0"/>
    <n v="0"/>
    <n v="0"/>
    <n v="0"/>
    <n v="0"/>
    <n v="59.5"/>
  </r>
  <r>
    <x v="747"/>
    <d v="2025-04-12T00:00:00"/>
    <x v="1"/>
    <x v="0"/>
    <s v="Mobile"/>
    <s v="Referral"/>
    <s v="Free"/>
    <n v="1"/>
    <n v="0"/>
    <n v="0"/>
    <n v="0"/>
    <n v="0"/>
    <n v="0"/>
    <n v="0"/>
    <n v="0"/>
    <n v="52.6"/>
  </r>
  <r>
    <x v="748"/>
    <d v="2025-03-23T00:00:00"/>
    <x v="1"/>
    <x v="3"/>
    <s v="Desktop"/>
    <s v="Organic"/>
    <s v="Free"/>
    <n v="0"/>
    <n v="0"/>
    <n v="0"/>
    <n v="0"/>
    <n v="0"/>
    <n v="0"/>
    <n v="0"/>
    <n v="0"/>
    <n v="49"/>
  </r>
  <r>
    <x v="749"/>
    <d v="2025-05-29T00:00:00"/>
    <x v="1"/>
    <x v="0"/>
    <s v="Tablet"/>
    <s v="Organic"/>
    <s v="Free"/>
    <n v="1"/>
    <n v="0"/>
    <n v="0"/>
    <n v="0"/>
    <n v="0"/>
    <n v="0"/>
    <n v="0"/>
    <n v="0"/>
    <n v="59.3"/>
  </r>
  <r>
    <x v="750"/>
    <d v="2025-05-21T00:00:00"/>
    <x v="1"/>
    <x v="3"/>
    <s v="Desktop"/>
    <s v="Organic"/>
    <s v="Basic"/>
    <n v="0"/>
    <n v="0"/>
    <n v="0"/>
    <n v="0"/>
    <n v="0"/>
    <n v="0"/>
    <n v="0"/>
    <n v="0"/>
    <n v="67.2"/>
  </r>
  <r>
    <x v="751"/>
    <d v="2025-01-05T00:00:00"/>
    <x v="1"/>
    <x v="3"/>
    <s v="Mobile"/>
    <s v="Referral"/>
    <s v="Premium"/>
    <n v="0"/>
    <n v="0"/>
    <n v="0"/>
    <n v="0"/>
    <n v="0"/>
    <n v="0"/>
    <n v="0"/>
    <n v="0"/>
    <n v="73.5"/>
  </r>
  <r>
    <x v="752"/>
    <d v="2025-03-19T00:00:00"/>
    <x v="1"/>
    <x v="2"/>
    <s v="Tablet"/>
    <s v="Organic"/>
    <s v="Free"/>
    <n v="1"/>
    <n v="0"/>
    <n v="0"/>
    <n v="0"/>
    <n v="0"/>
    <n v="0"/>
    <n v="0"/>
    <n v="0"/>
    <n v="61.2"/>
  </r>
  <r>
    <x v="753"/>
    <d v="2025-04-24T00:00:00"/>
    <x v="1"/>
    <x v="2"/>
    <s v="Mobile"/>
    <s v="Organic"/>
    <s v="Free"/>
    <n v="1"/>
    <n v="0"/>
    <n v="0"/>
    <n v="0"/>
    <n v="0"/>
    <n v="1"/>
    <n v="0"/>
    <n v="0"/>
    <n v="56.4"/>
  </r>
  <r>
    <x v="754"/>
    <d v="2025-03-10T00:00:00"/>
    <x v="1"/>
    <x v="0"/>
    <s v="Tablet"/>
    <s v="Organic"/>
    <s v="Free"/>
    <n v="0"/>
    <n v="0"/>
    <n v="0"/>
    <n v="0"/>
    <n v="0"/>
    <n v="3"/>
    <n v="0"/>
    <n v="0"/>
    <n v="72.599999999999994"/>
  </r>
  <r>
    <x v="755"/>
    <d v="2025-02-22T00:00:00"/>
    <x v="1"/>
    <x v="3"/>
    <s v="Tablet"/>
    <s v="Referral"/>
    <s v="Basic"/>
    <n v="1"/>
    <n v="0"/>
    <n v="0"/>
    <n v="0"/>
    <n v="0"/>
    <n v="0"/>
    <n v="0"/>
    <n v="0"/>
    <n v="61.7"/>
  </r>
  <r>
    <x v="756"/>
    <d v="2025-05-17T00:00:00"/>
    <x v="1"/>
    <x v="2"/>
    <s v="Mobile"/>
    <s v="Social"/>
    <s v="Free"/>
    <n v="0"/>
    <n v="0"/>
    <n v="0"/>
    <n v="0"/>
    <n v="0"/>
    <n v="1"/>
    <n v="0"/>
    <n v="0"/>
    <n v="66.900000000000006"/>
  </r>
  <r>
    <x v="757"/>
    <d v="2025-05-09T00:00:00"/>
    <x v="1"/>
    <x v="2"/>
    <s v="Tablet"/>
    <s v="Referral"/>
    <s v="Premium"/>
    <n v="1"/>
    <n v="1"/>
    <n v="1"/>
    <n v="1"/>
    <n v="1506.24"/>
    <n v="1"/>
    <n v="0"/>
    <n v="7"/>
    <n v="64.900000000000006"/>
  </r>
  <r>
    <x v="758"/>
    <d v="2025-04-26T00:00:00"/>
    <x v="1"/>
    <x v="2"/>
    <s v="Tablet"/>
    <s v="Organic"/>
    <s v="Premium"/>
    <n v="1"/>
    <n v="0"/>
    <n v="0"/>
    <n v="0"/>
    <n v="0"/>
    <n v="0"/>
    <n v="0"/>
    <n v="0"/>
    <n v="57.5"/>
  </r>
  <r>
    <x v="759"/>
    <d v="2025-03-15T00:00:00"/>
    <x v="1"/>
    <x v="1"/>
    <s v="Desktop"/>
    <s v="Social"/>
    <s v="Free"/>
    <n v="1"/>
    <n v="1"/>
    <n v="1"/>
    <n v="0"/>
    <n v="0"/>
    <n v="0"/>
    <n v="0"/>
    <n v="0"/>
    <n v="76.3"/>
  </r>
  <r>
    <x v="760"/>
    <d v="2025-04-03T00:00:00"/>
    <x v="1"/>
    <x v="0"/>
    <s v="Mobile"/>
    <s v="Paid Search"/>
    <s v="Free"/>
    <n v="0"/>
    <n v="0"/>
    <n v="0"/>
    <n v="0"/>
    <n v="0"/>
    <n v="0"/>
    <n v="0"/>
    <n v="0"/>
    <n v="47.5"/>
  </r>
  <r>
    <x v="761"/>
    <d v="2025-03-26T00:00:00"/>
    <x v="1"/>
    <x v="3"/>
    <s v="Mobile"/>
    <s v="Paid Search"/>
    <s v="Free"/>
    <n v="0"/>
    <n v="0"/>
    <n v="0"/>
    <n v="0"/>
    <n v="0"/>
    <n v="0"/>
    <n v="0"/>
    <n v="0"/>
    <n v="0"/>
  </r>
  <r>
    <x v="762"/>
    <d v="2025-02-05T00:00:00"/>
    <x v="1"/>
    <x v="1"/>
    <s v="Desktop"/>
    <s v="Organic"/>
    <s v="Basic"/>
    <n v="1"/>
    <n v="1"/>
    <n v="0"/>
    <n v="0"/>
    <n v="0"/>
    <n v="2"/>
    <n v="0"/>
    <n v="0"/>
    <n v="71.599999999999994"/>
  </r>
  <r>
    <x v="763"/>
    <d v="2025-05-08T00:00:00"/>
    <x v="1"/>
    <x v="3"/>
    <s v="Mobile"/>
    <s v="Social"/>
    <s v="Basic"/>
    <n v="1"/>
    <n v="1"/>
    <n v="0"/>
    <n v="0"/>
    <n v="0"/>
    <n v="0"/>
    <n v="0"/>
    <n v="0"/>
    <n v="55.8"/>
  </r>
  <r>
    <x v="764"/>
    <d v="2025-03-25T00:00:00"/>
    <x v="1"/>
    <x v="3"/>
    <s v="Desktop"/>
    <s v="Organic"/>
    <s v="Basic"/>
    <n v="0"/>
    <n v="0"/>
    <n v="0"/>
    <n v="0"/>
    <n v="0"/>
    <n v="1"/>
    <n v="0"/>
    <n v="0"/>
    <n v="60.1"/>
  </r>
  <r>
    <x v="765"/>
    <d v="2025-01-14T00:00:00"/>
    <x v="1"/>
    <x v="1"/>
    <s v="Unknown"/>
    <s v="Email"/>
    <s v="Basic"/>
    <n v="1"/>
    <n v="1"/>
    <n v="1"/>
    <n v="0"/>
    <n v="0"/>
    <n v="1"/>
    <n v="0"/>
    <n v="0"/>
    <n v="59.3"/>
  </r>
  <r>
    <x v="766"/>
    <d v="2025-03-26T00:00:00"/>
    <x v="1"/>
    <x v="0"/>
    <s v="Mobile"/>
    <s v="Organic"/>
    <s v="Free"/>
    <n v="1"/>
    <n v="1"/>
    <n v="0"/>
    <n v="0"/>
    <n v="0"/>
    <n v="2"/>
    <n v="0"/>
    <n v="0"/>
    <n v="49.3"/>
  </r>
  <r>
    <x v="767"/>
    <d v="2025-01-16T00:00:00"/>
    <x v="1"/>
    <x v="2"/>
    <s v="Mobile"/>
    <s v="Referral"/>
    <s v="Free"/>
    <n v="1"/>
    <n v="0"/>
    <n v="0"/>
    <n v="0"/>
    <n v="0"/>
    <n v="0"/>
    <n v="0"/>
    <n v="0"/>
    <n v="75"/>
  </r>
  <r>
    <x v="768"/>
    <d v="2025-01-04T00:00:00"/>
    <x v="1"/>
    <x v="2"/>
    <s v="Mobile"/>
    <s v="Social"/>
    <s v="Free"/>
    <n v="1"/>
    <n v="0"/>
    <n v="0"/>
    <n v="0"/>
    <n v="0"/>
    <n v="0"/>
    <n v="0"/>
    <n v="0"/>
    <n v="70.2"/>
  </r>
  <r>
    <x v="769"/>
    <d v="2025-02-09T00:00:00"/>
    <x v="1"/>
    <x v="3"/>
    <s v="Desktop"/>
    <s v="Organic"/>
    <s v="Premium"/>
    <n v="1"/>
    <n v="1"/>
    <n v="1"/>
    <n v="0"/>
    <n v="0"/>
    <n v="0"/>
    <n v="0"/>
    <n v="0"/>
    <n v="56.6"/>
  </r>
  <r>
    <x v="770"/>
    <d v="2025-03-05T00:00:00"/>
    <x v="1"/>
    <x v="2"/>
    <s v="Desktop"/>
    <s v="Organic"/>
    <s v="Free"/>
    <n v="1"/>
    <n v="0"/>
    <n v="0"/>
    <n v="0"/>
    <n v="0"/>
    <n v="0"/>
    <n v="0"/>
    <n v="0"/>
    <n v="65.400000000000006"/>
  </r>
  <r>
    <x v="771"/>
    <d v="2025-03-10T00:00:00"/>
    <x v="1"/>
    <x v="2"/>
    <s v="Mobile"/>
    <s v="Referral"/>
    <s v="Basic"/>
    <n v="1"/>
    <n v="0"/>
    <n v="0"/>
    <n v="0"/>
    <n v="0"/>
    <n v="0"/>
    <n v="0"/>
    <n v="0"/>
    <n v="47.6"/>
  </r>
  <r>
    <x v="772"/>
    <d v="2025-02-27T00:00:00"/>
    <x v="1"/>
    <x v="2"/>
    <s v="Desktop"/>
    <s v="Paid Search"/>
    <s v="Free"/>
    <n v="1"/>
    <n v="0"/>
    <n v="0"/>
    <n v="0"/>
    <n v="0"/>
    <n v="0"/>
    <n v="0"/>
    <n v="0"/>
    <n v="56.7"/>
  </r>
  <r>
    <x v="773"/>
    <d v="2025-03-10T00:00:00"/>
    <x v="1"/>
    <x v="0"/>
    <s v="Desktop"/>
    <s v="Referral"/>
    <s v="Basic"/>
    <n v="1"/>
    <n v="1"/>
    <n v="0"/>
    <n v="0"/>
    <n v="0"/>
    <n v="0"/>
    <n v="0"/>
    <n v="0"/>
    <n v="71.400000000000006"/>
  </r>
  <r>
    <x v="774"/>
    <d v="2025-04-23T00:00:00"/>
    <x v="1"/>
    <x v="1"/>
    <s v="Mobile"/>
    <s v="Social"/>
    <s v="Free"/>
    <n v="0"/>
    <n v="0"/>
    <n v="0"/>
    <n v="0"/>
    <n v="0"/>
    <n v="2"/>
    <n v="0"/>
    <n v="0"/>
    <n v="60.5"/>
  </r>
  <r>
    <x v="775"/>
    <d v="2025-04-12T00:00:00"/>
    <x v="1"/>
    <x v="0"/>
    <s v="Desktop"/>
    <s v="Paid Search"/>
    <s v="Free"/>
    <n v="1"/>
    <n v="0"/>
    <n v="0"/>
    <n v="0"/>
    <n v="0"/>
    <n v="0"/>
    <n v="0"/>
    <n v="0"/>
    <n v="46.7"/>
  </r>
  <r>
    <x v="776"/>
    <d v="2025-01-26T00:00:00"/>
    <x v="1"/>
    <x v="2"/>
    <s v="Desktop"/>
    <s v="Referral"/>
    <s v="Free"/>
    <n v="0"/>
    <n v="0"/>
    <n v="0"/>
    <n v="0"/>
    <n v="0"/>
    <n v="0"/>
    <n v="0"/>
    <n v="0"/>
    <n v="61"/>
  </r>
  <r>
    <x v="777"/>
    <d v="2025-05-24T00:00:00"/>
    <x v="1"/>
    <x v="1"/>
    <s v="Tablet"/>
    <s v="Paid Search"/>
    <s v="Free"/>
    <n v="0"/>
    <n v="0"/>
    <n v="0"/>
    <n v="0"/>
    <n v="0"/>
    <n v="0"/>
    <n v="0"/>
    <n v="0"/>
    <n v="60.9"/>
  </r>
  <r>
    <x v="778"/>
    <d v="2025-01-08T00:00:00"/>
    <x v="1"/>
    <x v="3"/>
    <s v="Mobile"/>
    <s v="Organic"/>
    <s v="Free"/>
    <n v="1"/>
    <n v="0"/>
    <n v="0"/>
    <n v="0"/>
    <n v="0"/>
    <n v="0"/>
    <n v="0"/>
    <n v="0"/>
    <n v="67.099999999999994"/>
  </r>
  <r>
    <x v="779"/>
    <d v="2025-04-15T00:00:00"/>
    <x v="1"/>
    <x v="0"/>
    <s v="Mobile"/>
    <s v="Referral"/>
    <s v="Free"/>
    <n v="1"/>
    <n v="1"/>
    <n v="0"/>
    <n v="0"/>
    <n v="0"/>
    <n v="0"/>
    <n v="0"/>
    <n v="0"/>
    <n v="59.6"/>
  </r>
  <r>
    <x v="780"/>
    <d v="2025-01-15T00:00:00"/>
    <x v="1"/>
    <x v="3"/>
    <s v="Desktop"/>
    <s v="Paid Search"/>
    <s v="Free"/>
    <n v="1"/>
    <n v="0"/>
    <n v="0"/>
    <n v="0"/>
    <n v="0"/>
    <n v="0"/>
    <n v="0"/>
    <n v="0"/>
    <n v="83.8"/>
  </r>
  <r>
    <x v="781"/>
    <d v="2025-02-28T00:00:00"/>
    <x v="1"/>
    <x v="0"/>
    <s v="Mobile"/>
    <s v="Organic"/>
    <s v="Basic"/>
    <n v="1"/>
    <n v="1"/>
    <n v="1"/>
    <n v="0"/>
    <n v="0"/>
    <n v="0"/>
    <n v="0"/>
    <n v="0"/>
    <n v="70.8"/>
  </r>
  <r>
    <x v="782"/>
    <d v="2025-01-01T00:00:00"/>
    <x v="1"/>
    <x v="0"/>
    <s v="Tablet"/>
    <s v="Organic"/>
    <s v="Basic"/>
    <n v="0"/>
    <n v="0"/>
    <n v="0"/>
    <n v="0"/>
    <n v="0"/>
    <n v="0"/>
    <n v="0"/>
    <n v="0"/>
    <n v="65.900000000000006"/>
  </r>
  <r>
    <x v="783"/>
    <d v="2025-04-17T00:00:00"/>
    <x v="1"/>
    <x v="1"/>
    <s v="Mobile"/>
    <s v="Referral"/>
    <s v="Free"/>
    <n v="1"/>
    <n v="0"/>
    <n v="0"/>
    <n v="0"/>
    <n v="0"/>
    <n v="0"/>
    <n v="0"/>
    <n v="0"/>
    <n v="58"/>
  </r>
  <r>
    <x v="784"/>
    <d v="2025-02-19T00:00:00"/>
    <x v="1"/>
    <x v="0"/>
    <s v="Mobile"/>
    <s v="Email"/>
    <s v="Basic"/>
    <n v="1"/>
    <n v="1"/>
    <n v="0"/>
    <n v="0"/>
    <n v="0"/>
    <n v="0"/>
    <n v="0"/>
    <n v="0"/>
    <n v="80.3"/>
  </r>
  <r>
    <x v="785"/>
    <d v="2025-03-14T00:00:00"/>
    <x v="1"/>
    <x v="0"/>
    <s v="Desktop"/>
    <s v="Organic"/>
    <s v="Free"/>
    <n v="1"/>
    <n v="0"/>
    <n v="0"/>
    <n v="0"/>
    <n v="0"/>
    <n v="0"/>
    <n v="0"/>
    <n v="0"/>
    <n v="55.7"/>
  </r>
  <r>
    <x v="786"/>
    <d v="2025-04-21T00:00:00"/>
    <x v="1"/>
    <x v="0"/>
    <s v="Mobile"/>
    <s v="Organic"/>
    <s v="Free"/>
    <n v="1"/>
    <n v="1"/>
    <n v="0"/>
    <n v="0"/>
    <n v="0"/>
    <n v="0"/>
    <n v="0"/>
    <n v="0"/>
    <n v="84.9"/>
  </r>
  <r>
    <x v="787"/>
    <d v="2025-02-14T00:00:00"/>
    <x v="1"/>
    <x v="0"/>
    <s v="Mobile"/>
    <s v="Organic"/>
    <s v="Free"/>
    <n v="1"/>
    <n v="0"/>
    <n v="0"/>
    <n v="0"/>
    <n v="0"/>
    <n v="0"/>
    <n v="0"/>
    <n v="0"/>
    <n v="63.3"/>
  </r>
  <r>
    <x v="788"/>
    <d v="2025-05-30T00:00:00"/>
    <x v="1"/>
    <x v="1"/>
    <s v="Mobile"/>
    <s v="Organic"/>
    <s v="Free"/>
    <n v="0"/>
    <n v="0"/>
    <n v="0"/>
    <n v="0"/>
    <n v="0"/>
    <n v="0"/>
    <n v="0"/>
    <n v="0"/>
    <n v="53.1"/>
  </r>
  <r>
    <x v="789"/>
    <d v="2025-01-20T00:00:00"/>
    <x v="1"/>
    <x v="1"/>
    <s v="Mobile"/>
    <s v="Organic"/>
    <s v="Free"/>
    <n v="0"/>
    <n v="0"/>
    <n v="0"/>
    <n v="0"/>
    <n v="0"/>
    <n v="0"/>
    <n v="0"/>
    <n v="0"/>
    <n v="66"/>
  </r>
  <r>
    <x v="790"/>
    <d v="2025-03-17T00:00:00"/>
    <x v="1"/>
    <x v="1"/>
    <s v="Mobile"/>
    <s v="Social"/>
    <s v="Premium"/>
    <n v="0"/>
    <n v="0"/>
    <n v="0"/>
    <n v="0"/>
    <n v="0"/>
    <n v="0"/>
    <n v="0"/>
    <n v="0"/>
    <n v="54.7"/>
  </r>
  <r>
    <x v="791"/>
    <d v="2025-03-04T00:00:00"/>
    <x v="1"/>
    <x v="1"/>
    <s v="Mobile"/>
    <s v="Social"/>
    <s v="Free"/>
    <n v="1"/>
    <n v="1"/>
    <n v="0"/>
    <n v="0"/>
    <n v="0"/>
    <n v="1"/>
    <n v="0"/>
    <n v="0"/>
    <n v="41.2"/>
  </r>
  <r>
    <x v="792"/>
    <d v="2025-02-22T00:00:00"/>
    <x v="1"/>
    <x v="3"/>
    <s v="Mobile"/>
    <s v="Organic"/>
    <s v="Premium"/>
    <n v="0"/>
    <n v="0"/>
    <n v="0"/>
    <n v="0"/>
    <n v="0"/>
    <n v="0"/>
    <n v="0"/>
    <n v="0"/>
    <n v="66.7"/>
  </r>
  <r>
    <x v="793"/>
    <d v="2025-05-02T00:00:00"/>
    <x v="1"/>
    <x v="0"/>
    <s v="Mobile"/>
    <s v="Paid Search"/>
    <s v="Premium"/>
    <n v="0"/>
    <n v="0"/>
    <n v="0"/>
    <n v="0"/>
    <n v="0"/>
    <n v="0"/>
    <n v="0"/>
    <n v="0"/>
    <n v="39.4"/>
  </r>
  <r>
    <x v="794"/>
    <d v="2025-03-13T00:00:00"/>
    <x v="1"/>
    <x v="1"/>
    <s v="Desktop"/>
    <s v="Organic"/>
    <s v="Premium"/>
    <n v="0"/>
    <n v="0"/>
    <n v="0"/>
    <n v="0"/>
    <n v="0"/>
    <n v="3"/>
    <n v="0"/>
    <n v="0"/>
    <n v="67"/>
  </r>
  <r>
    <x v="795"/>
    <d v="2025-05-31T00:00:00"/>
    <x v="1"/>
    <x v="3"/>
    <s v="Mobile"/>
    <s v="Organic"/>
    <s v="Basic"/>
    <n v="1"/>
    <n v="0"/>
    <n v="0"/>
    <n v="0"/>
    <n v="0"/>
    <n v="0"/>
    <n v="0"/>
    <n v="0"/>
    <n v="50.4"/>
  </r>
  <r>
    <x v="796"/>
    <d v="2025-03-07T00:00:00"/>
    <x v="1"/>
    <x v="1"/>
    <s v="Desktop"/>
    <s v="Social"/>
    <s v="Free"/>
    <n v="1"/>
    <n v="0"/>
    <n v="0"/>
    <n v="0"/>
    <n v="0"/>
    <n v="0"/>
    <n v="0"/>
    <n v="0"/>
    <n v="53.8"/>
  </r>
  <r>
    <x v="797"/>
    <d v="2025-02-22T00:00:00"/>
    <x v="1"/>
    <x v="1"/>
    <s v="Mobile"/>
    <s v="Paid Search"/>
    <s v="Basic"/>
    <n v="0"/>
    <n v="0"/>
    <n v="0"/>
    <n v="0"/>
    <n v="0"/>
    <n v="1"/>
    <n v="0"/>
    <n v="0"/>
    <n v="82.7"/>
  </r>
  <r>
    <x v="798"/>
    <d v="2025-01-05T00:00:00"/>
    <x v="1"/>
    <x v="1"/>
    <s v="Desktop"/>
    <s v="Paid Search"/>
    <s v="Free"/>
    <n v="1"/>
    <n v="1"/>
    <n v="1"/>
    <n v="0"/>
    <n v="0"/>
    <n v="0"/>
    <n v="0"/>
    <n v="0"/>
    <n v="63.9"/>
  </r>
  <r>
    <x v="799"/>
    <d v="2025-01-21T00:00:00"/>
    <x v="1"/>
    <x v="1"/>
    <s v="Mobile"/>
    <s v="Referral"/>
    <s v="Free"/>
    <n v="1"/>
    <n v="0"/>
    <n v="0"/>
    <n v="0"/>
    <n v="0"/>
    <n v="0"/>
    <n v="0"/>
    <n v="0"/>
    <n v="61.9"/>
  </r>
  <r>
    <x v="800"/>
    <d v="2025-01-25T00:00:00"/>
    <x v="1"/>
    <x v="0"/>
    <s v="Desktop"/>
    <s v="Social"/>
    <s v="Free"/>
    <n v="1"/>
    <n v="1"/>
    <n v="1"/>
    <n v="0"/>
    <n v="0"/>
    <n v="0"/>
    <n v="0"/>
    <n v="0"/>
    <n v="75"/>
  </r>
  <r>
    <x v="801"/>
    <d v="2025-04-04T00:00:00"/>
    <x v="1"/>
    <x v="1"/>
    <s v="Mobile"/>
    <s v="Paid Search"/>
    <s v="Basic"/>
    <n v="1"/>
    <n v="1"/>
    <n v="1"/>
    <n v="0"/>
    <n v="0"/>
    <n v="0"/>
    <n v="0"/>
    <n v="0"/>
    <n v="43"/>
  </r>
  <r>
    <x v="802"/>
    <d v="2025-03-25T00:00:00"/>
    <x v="1"/>
    <x v="0"/>
    <s v="Desktop"/>
    <s v="Social"/>
    <s v="Premium"/>
    <n v="0"/>
    <n v="0"/>
    <n v="0"/>
    <n v="0"/>
    <n v="0"/>
    <n v="0"/>
    <n v="0"/>
    <n v="0"/>
    <n v="54.3"/>
  </r>
  <r>
    <x v="803"/>
    <d v="2025-03-19T00:00:00"/>
    <x v="1"/>
    <x v="1"/>
    <s v="Mobile"/>
    <s v="Social"/>
    <s v="Free"/>
    <n v="0"/>
    <n v="0"/>
    <n v="0"/>
    <n v="0"/>
    <n v="0"/>
    <n v="2"/>
    <n v="0"/>
    <n v="0"/>
    <n v="44.3"/>
  </r>
  <r>
    <x v="804"/>
    <d v="2025-04-24T00:00:00"/>
    <x v="1"/>
    <x v="1"/>
    <s v="Desktop"/>
    <s v="Organic"/>
    <s v="Free"/>
    <n v="1"/>
    <n v="1"/>
    <n v="1"/>
    <n v="1"/>
    <n v="402.88"/>
    <n v="0"/>
    <n v="0"/>
    <n v="12"/>
    <n v="76"/>
  </r>
  <r>
    <x v="805"/>
    <d v="2025-04-04T00:00:00"/>
    <x v="1"/>
    <x v="3"/>
    <s v="Tablet"/>
    <s v="Organic"/>
    <s v="Free"/>
    <n v="1"/>
    <n v="0"/>
    <n v="0"/>
    <n v="0"/>
    <n v="0"/>
    <n v="2"/>
    <n v="0"/>
    <n v="0"/>
    <n v="65.3"/>
  </r>
  <r>
    <x v="806"/>
    <d v="2025-03-28T00:00:00"/>
    <x v="1"/>
    <x v="3"/>
    <s v="Desktop"/>
    <s v="Paid Search"/>
    <s v="Premium"/>
    <n v="1"/>
    <n v="0"/>
    <n v="0"/>
    <n v="0"/>
    <n v="0"/>
    <n v="0"/>
    <n v="0"/>
    <n v="0"/>
    <n v="71.2"/>
  </r>
  <r>
    <x v="807"/>
    <d v="2025-05-15T00:00:00"/>
    <x v="1"/>
    <x v="3"/>
    <s v="Tablet"/>
    <s v="Paid Search"/>
    <s v="Free"/>
    <n v="1"/>
    <n v="0"/>
    <n v="0"/>
    <n v="0"/>
    <n v="0"/>
    <n v="0"/>
    <n v="0"/>
    <n v="0"/>
    <n v="77.900000000000006"/>
  </r>
  <r>
    <x v="808"/>
    <d v="2025-03-13T00:00:00"/>
    <x v="1"/>
    <x v="1"/>
    <s v="Mobile"/>
    <s v="Paid Search"/>
    <s v="Free"/>
    <n v="0"/>
    <n v="0"/>
    <n v="0"/>
    <n v="0"/>
    <n v="0"/>
    <n v="0"/>
    <n v="0"/>
    <n v="0"/>
    <n v="48.6"/>
  </r>
  <r>
    <x v="809"/>
    <d v="2025-03-26T00:00:00"/>
    <x v="1"/>
    <x v="0"/>
    <s v="Mobile"/>
    <s v="Social"/>
    <s v="Premium"/>
    <n v="1"/>
    <n v="0"/>
    <n v="0"/>
    <n v="0"/>
    <n v="0"/>
    <n v="0"/>
    <n v="0"/>
    <n v="0"/>
    <n v="61.9"/>
  </r>
  <r>
    <x v="810"/>
    <d v="2025-01-09T00:00:00"/>
    <x v="1"/>
    <x v="0"/>
    <s v="Mobile"/>
    <s v="Social"/>
    <s v="Basic"/>
    <n v="0"/>
    <n v="0"/>
    <n v="0"/>
    <n v="0"/>
    <n v="0"/>
    <n v="1"/>
    <n v="0"/>
    <n v="0"/>
    <n v="58.7"/>
  </r>
  <r>
    <x v="811"/>
    <d v="2025-05-06T00:00:00"/>
    <x v="1"/>
    <x v="3"/>
    <s v="Desktop"/>
    <s v="Paid Search"/>
    <s v="Free"/>
    <n v="1"/>
    <n v="0"/>
    <n v="0"/>
    <n v="0"/>
    <n v="0"/>
    <n v="0"/>
    <n v="0"/>
    <n v="0"/>
    <n v="69.599999999999994"/>
  </r>
  <r>
    <x v="812"/>
    <d v="2025-02-17T00:00:00"/>
    <x v="1"/>
    <x v="3"/>
    <s v="Mobile"/>
    <s v="Organic"/>
    <s v="Free"/>
    <n v="1"/>
    <n v="0"/>
    <n v="0"/>
    <n v="0"/>
    <n v="0"/>
    <n v="0"/>
    <n v="0"/>
    <n v="0"/>
    <n v="51.5"/>
  </r>
  <r>
    <x v="813"/>
    <d v="2025-04-05T00:00:00"/>
    <x v="1"/>
    <x v="2"/>
    <s v="Mobile"/>
    <s v="Paid Search"/>
    <s v="Free"/>
    <n v="1"/>
    <n v="1"/>
    <n v="1"/>
    <n v="1"/>
    <n v="277.69"/>
    <n v="3"/>
    <n v="0"/>
    <n v="8"/>
    <n v="46"/>
  </r>
  <r>
    <x v="814"/>
    <d v="2025-04-13T00:00:00"/>
    <x v="1"/>
    <x v="1"/>
    <s v="Tablet"/>
    <s v="Organic"/>
    <s v="Free"/>
    <n v="1"/>
    <n v="0"/>
    <n v="0"/>
    <n v="0"/>
    <n v="0"/>
    <n v="0"/>
    <n v="0"/>
    <n v="0"/>
    <n v="81.7"/>
  </r>
  <r>
    <x v="815"/>
    <d v="2025-05-20T00:00:00"/>
    <x v="1"/>
    <x v="2"/>
    <s v="Desktop"/>
    <s v="Referral"/>
    <s v="Free"/>
    <n v="1"/>
    <n v="0"/>
    <n v="0"/>
    <n v="0"/>
    <n v="0"/>
    <n v="0"/>
    <n v="0"/>
    <n v="0"/>
    <n v="48.3"/>
  </r>
  <r>
    <x v="816"/>
    <d v="2025-03-31T00:00:00"/>
    <x v="1"/>
    <x v="2"/>
    <s v="Mobile"/>
    <s v="Email"/>
    <s v="Free"/>
    <n v="1"/>
    <n v="1"/>
    <n v="0"/>
    <n v="0"/>
    <n v="0"/>
    <n v="0"/>
    <n v="0"/>
    <n v="0"/>
    <n v="85.6"/>
  </r>
  <r>
    <x v="817"/>
    <d v="2025-04-03T00:00:00"/>
    <x v="1"/>
    <x v="1"/>
    <s v="Tablet"/>
    <s v="Paid Search"/>
    <s v="Basic"/>
    <n v="1"/>
    <n v="0"/>
    <n v="0"/>
    <n v="0"/>
    <n v="0"/>
    <n v="0"/>
    <n v="0"/>
    <n v="0"/>
    <n v="53.8"/>
  </r>
  <r>
    <x v="818"/>
    <d v="2025-02-04T00:00:00"/>
    <x v="1"/>
    <x v="3"/>
    <s v="Mobile"/>
    <s v="Organic"/>
    <s v="Free"/>
    <n v="1"/>
    <n v="1"/>
    <n v="1"/>
    <n v="1"/>
    <n v="460.83"/>
    <n v="2"/>
    <n v="0"/>
    <n v="0"/>
    <n v="69.7"/>
  </r>
  <r>
    <x v="819"/>
    <d v="2025-05-19T00:00:00"/>
    <x v="1"/>
    <x v="2"/>
    <s v="Mobile"/>
    <s v="Organic"/>
    <s v="Free"/>
    <n v="1"/>
    <n v="0"/>
    <n v="0"/>
    <n v="0"/>
    <n v="0"/>
    <n v="0"/>
    <n v="0"/>
    <n v="0"/>
    <n v="74.8"/>
  </r>
  <r>
    <x v="820"/>
    <d v="2025-03-08T00:00:00"/>
    <x v="1"/>
    <x v="2"/>
    <s v="Desktop"/>
    <s v="Paid Search"/>
    <s v="Basic"/>
    <n v="0"/>
    <n v="0"/>
    <n v="0"/>
    <n v="0"/>
    <n v="0"/>
    <n v="0"/>
    <n v="0"/>
    <n v="0"/>
    <n v="87.9"/>
  </r>
  <r>
    <x v="821"/>
    <d v="2025-05-10T00:00:00"/>
    <x v="1"/>
    <x v="0"/>
    <s v="Mobile"/>
    <s v="Social"/>
    <s v="Basic"/>
    <n v="1"/>
    <n v="0"/>
    <n v="0"/>
    <n v="0"/>
    <n v="0"/>
    <n v="1"/>
    <n v="0"/>
    <n v="0"/>
    <n v="49.1"/>
  </r>
  <r>
    <x v="822"/>
    <d v="2025-01-02T00:00:00"/>
    <x v="1"/>
    <x v="2"/>
    <s v="Desktop"/>
    <s v="Social"/>
    <s v="Basic"/>
    <n v="1"/>
    <n v="0"/>
    <n v="0"/>
    <n v="0"/>
    <n v="0"/>
    <n v="2"/>
    <n v="0"/>
    <n v="0"/>
    <n v="73"/>
  </r>
  <r>
    <x v="823"/>
    <d v="2025-01-17T00:00:00"/>
    <x v="1"/>
    <x v="1"/>
    <s v="Mobile"/>
    <s v="Organic"/>
    <s v="Basic"/>
    <n v="0"/>
    <n v="0"/>
    <n v="0"/>
    <n v="0"/>
    <n v="0"/>
    <n v="0"/>
    <n v="0"/>
    <n v="0"/>
    <n v="79.5"/>
  </r>
  <r>
    <x v="824"/>
    <d v="2025-05-21T00:00:00"/>
    <x v="1"/>
    <x v="1"/>
    <s v="Mobile"/>
    <s v="Referral"/>
    <s v="Basic"/>
    <n v="1"/>
    <n v="1"/>
    <n v="1"/>
    <n v="1"/>
    <n v="782.23"/>
    <n v="1"/>
    <n v="0"/>
    <n v="6"/>
    <n v="93.2"/>
  </r>
  <r>
    <x v="825"/>
    <d v="2025-05-25T00:00:00"/>
    <x v="1"/>
    <x v="2"/>
    <s v="Desktop"/>
    <s v="Referral"/>
    <s v="Free"/>
    <n v="1"/>
    <n v="0"/>
    <n v="0"/>
    <n v="0"/>
    <n v="0"/>
    <n v="3"/>
    <n v="0"/>
    <n v="0"/>
    <n v="77.5"/>
  </r>
  <r>
    <x v="826"/>
    <d v="2025-01-05T00:00:00"/>
    <x v="1"/>
    <x v="1"/>
    <s v="Mobile"/>
    <s v="Email"/>
    <s v="Basic"/>
    <n v="1"/>
    <n v="0"/>
    <n v="0"/>
    <n v="0"/>
    <n v="0"/>
    <n v="0"/>
    <n v="0"/>
    <n v="0"/>
    <n v="61"/>
  </r>
  <r>
    <x v="827"/>
    <d v="2025-02-24T00:00:00"/>
    <x v="1"/>
    <x v="3"/>
    <s v="Desktop"/>
    <s v="Organic"/>
    <s v="Free"/>
    <n v="1"/>
    <n v="1"/>
    <n v="0"/>
    <n v="0"/>
    <n v="0"/>
    <n v="0"/>
    <n v="0"/>
    <n v="0"/>
    <n v="64.900000000000006"/>
  </r>
  <r>
    <x v="828"/>
    <d v="2025-01-21T00:00:00"/>
    <x v="1"/>
    <x v="2"/>
    <s v="Mobile"/>
    <s v="Paid Search"/>
    <s v="Basic"/>
    <n v="1"/>
    <n v="0"/>
    <n v="0"/>
    <n v="0"/>
    <n v="0"/>
    <n v="0"/>
    <n v="0"/>
    <n v="0"/>
    <n v="87.5"/>
  </r>
  <r>
    <x v="829"/>
    <d v="2025-04-24T00:00:00"/>
    <x v="1"/>
    <x v="0"/>
    <s v="Mobile"/>
    <s v="Organic"/>
    <s v="Basic"/>
    <n v="1"/>
    <n v="1"/>
    <n v="1"/>
    <n v="1"/>
    <n v="1171.99"/>
    <n v="0"/>
    <n v="0"/>
    <n v="5"/>
    <n v="80.599999999999994"/>
  </r>
  <r>
    <x v="830"/>
    <d v="2025-01-07T00:00:00"/>
    <x v="1"/>
    <x v="1"/>
    <s v="Desktop"/>
    <s v="Organic"/>
    <s v="Free"/>
    <n v="1"/>
    <n v="0"/>
    <n v="0"/>
    <n v="0"/>
    <n v="0"/>
    <n v="0"/>
    <n v="0"/>
    <n v="0"/>
    <n v="66.900000000000006"/>
  </r>
  <r>
    <x v="831"/>
    <d v="2025-05-31T00:00:00"/>
    <x v="1"/>
    <x v="3"/>
    <s v="Tablet"/>
    <s v="Organic"/>
    <s v="Basic"/>
    <n v="1"/>
    <n v="1"/>
    <n v="1"/>
    <n v="0"/>
    <n v="0"/>
    <n v="0"/>
    <n v="0"/>
    <n v="0"/>
    <n v="58.8"/>
  </r>
  <r>
    <x v="832"/>
    <d v="2025-04-02T00:00:00"/>
    <x v="1"/>
    <x v="0"/>
    <s v="Desktop"/>
    <s v="Organic"/>
    <s v="Basic"/>
    <n v="1"/>
    <n v="1"/>
    <n v="1"/>
    <n v="1"/>
    <n v="1010.4"/>
    <n v="0"/>
    <n v="0"/>
    <n v="4"/>
    <n v="42.9"/>
  </r>
  <r>
    <x v="833"/>
    <d v="2025-04-21T00:00:00"/>
    <x v="1"/>
    <x v="2"/>
    <s v="Mobile"/>
    <s v="Organic"/>
    <s v="Free"/>
    <n v="1"/>
    <n v="1"/>
    <n v="1"/>
    <n v="0"/>
    <n v="0"/>
    <n v="1"/>
    <n v="0"/>
    <n v="0"/>
    <n v="60.2"/>
  </r>
  <r>
    <x v="834"/>
    <d v="2025-05-05T00:00:00"/>
    <x v="1"/>
    <x v="2"/>
    <s v="Mobile"/>
    <s v="Paid Search"/>
    <s v="Basic"/>
    <n v="1"/>
    <n v="0"/>
    <n v="0"/>
    <n v="0"/>
    <n v="0"/>
    <n v="0"/>
    <n v="0"/>
    <n v="0"/>
    <n v="42.7"/>
  </r>
  <r>
    <x v="835"/>
    <d v="2025-01-06T00:00:00"/>
    <x v="1"/>
    <x v="0"/>
    <s v="Desktop"/>
    <s v="Social"/>
    <s v="Free"/>
    <n v="1"/>
    <n v="1"/>
    <n v="1"/>
    <n v="1"/>
    <n v="431.27"/>
    <n v="0"/>
    <n v="0"/>
    <n v="7"/>
    <n v="60.8"/>
  </r>
  <r>
    <x v="836"/>
    <d v="2025-04-24T00:00:00"/>
    <x v="1"/>
    <x v="3"/>
    <s v="Mobile"/>
    <s v="Referral"/>
    <s v="Free"/>
    <n v="1"/>
    <n v="1"/>
    <n v="1"/>
    <n v="1"/>
    <n v="428.8"/>
    <n v="0"/>
    <n v="0"/>
    <n v="9"/>
    <n v="79.3"/>
  </r>
  <r>
    <x v="837"/>
    <d v="2025-04-21T00:00:00"/>
    <x v="1"/>
    <x v="3"/>
    <s v="Mobile"/>
    <s v="Organic"/>
    <s v="Basic"/>
    <n v="1"/>
    <n v="0"/>
    <n v="0"/>
    <n v="0"/>
    <n v="0"/>
    <n v="1"/>
    <n v="0"/>
    <n v="0"/>
    <n v="88.6"/>
  </r>
  <r>
    <x v="838"/>
    <d v="2025-02-09T00:00:00"/>
    <x v="1"/>
    <x v="1"/>
    <s v="Mobile"/>
    <s v="Organic"/>
    <s v="Basic"/>
    <n v="1"/>
    <n v="1"/>
    <n v="1"/>
    <n v="0"/>
    <n v="0"/>
    <n v="0"/>
    <n v="0"/>
    <n v="0"/>
    <n v="63.1"/>
  </r>
  <r>
    <x v="839"/>
    <d v="2025-01-09T00:00:00"/>
    <x v="1"/>
    <x v="2"/>
    <s v="Mobile"/>
    <s v="Organic"/>
    <s v="Premium"/>
    <n v="1"/>
    <n v="0"/>
    <n v="0"/>
    <n v="0"/>
    <n v="0"/>
    <n v="0"/>
    <n v="0"/>
    <n v="0"/>
    <n v="39.700000000000003"/>
  </r>
  <r>
    <x v="840"/>
    <d v="2025-02-16T00:00:00"/>
    <x v="1"/>
    <x v="0"/>
    <s v="Mobile"/>
    <s v="Paid Search"/>
    <s v="Basic"/>
    <n v="0"/>
    <n v="0"/>
    <n v="0"/>
    <n v="0"/>
    <n v="0"/>
    <n v="0"/>
    <n v="0"/>
    <n v="0"/>
    <n v="67.2"/>
  </r>
  <r>
    <x v="841"/>
    <d v="2025-02-21T00:00:00"/>
    <x v="1"/>
    <x v="3"/>
    <s v="Mobile"/>
    <s v="Organic"/>
    <s v="Free"/>
    <n v="1"/>
    <n v="1"/>
    <n v="1"/>
    <n v="0"/>
    <n v="0"/>
    <n v="0"/>
    <n v="0"/>
    <n v="0"/>
    <n v="62.3"/>
  </r>
  <r>
    <x v="842"/>
    <d v="2025-02-08T00:00:00"/>
    <x v="1"/>
    <x v="3"/>
    <s v="Mobile"/>
    <s v="Organic"/>
    <s v="Premium"/>
    <n v="1"/>
    <n v="0"/>
    <n v="0"/>
    <n v="0"/>
    <n v="0"/>
    <n v="0"/>
    <n v="0"/>
    <n v="0"/>
    <n v="0"/>
  </r>
  <r>
    <x v="843"/>
    <d v="2025-01-22T00:00:00"/>
    <x v="1"/>
    <x v="3"/>
    <s v="Mobile"/>
    <s v="Paid Search"/>
    <s v="Premium"/>
    <n v="0"/>
    <n v="0"/>
    <n v="0"/>
    <n v="0"/>
    <n v="0"/>
    <n v="0"/>
    <n v="0"/>
    <n v="0"/>
    <n v="60.7"/>
  </r>
  <r>
    <x v="844"/>
    <d v="2025-04-01T00:00:00"/>
    <x v="1"/>
    <x v="1"/>
    <s v="Mobile"/>
    <s v="Organic"/>
    <s v="Basic"/>
    <n v="1"/>
    <n v="0"/>
    <n v="0"/>
    <n v="0"/>
    <n v="0"/>
    <n v="0"/>
    <n v="0"/>
    <n v="0"/>
    <n v="61.5"/>
  </r>
  <r>
    <x v="845"/>
    <d v="2025-01-21T00:00:00"/>
    <x v="1"/>
    <x v="0"/>
    <s v="Mobile"/>
    <s v="Paid Search"/>
    <s v="Basic"/>
    <n v="1"/>
    <n v="0"/>
    <n v="0"/>
    <n v="0"/>
    <n v="0"/>
    <n v="0"/>
    <n v="0"/>
    <n v="0"/>
    <n v="75"/>
  </r>
  <r>
    <x v="846"/>
    <d v="2025-01-02T00:00:00"/>
    <x v="1"/>
    <x v="2"/>
    <s v="Desktop"/>
    <s v="Organic"/>
    <s v="Free"/>
    <n v="1"/>
    <n v="1"/>
    <n v="0"/>
    <n v="0"/>
    <n v="0"/>
    <n v="0"/>
    <n v="0"/>
    <n v="0"/>
    <n v="51.9"/>
  </r>
  <r>
    <x v="847"/>
    <d v="2025-05-12T00:00:00"/>
    <x v="1"/>
    <x v="3"/>
    <s v="Desktop"/>
    <s v="Paid Search"/>
    <s v="Free"/>
    <n v="0"/>
    <n v="0"/>
    <n v="0"/>
    <n v="0"/>
    <n v="0"/>
    <n v="0"/>
    <n v="0"/>
    <n v="0"/>
    <n v="34.5"/>
  </r>
  <r>
    <x v="848"/>
    <d v="2025-03-05T00:00:00"/>
    <x v="1"/>
    <x v="3"/>
    <s v="Mobile"/>
    <s v="Social"/>
    <s v="Basic"/>
    <n v="0"/>
    <n v="0"/>
    <n v="0"/>
    <n v="0"/>
    <n v="0"/>
    <n v="0"/>
    <n v="0"/>
    <n v="0"/>
    <n v="54.5"/>
  </r>
  <r>
    <x v="849"/>
    <d v="2025-01-24T00:00:00"/>
    <x v="1"/>
    <x v="2"/>
    <s v="Mobile"/>
    <s v="Organic"/>
    <s v="Free"/>
    <n v="0"/>
    <n v="0"/>
    <n v="0"/>
    <n v="0"/>
    <n v="0"/>
    <n v="0"/>
    <n v="0"/>
    <n v="0"/>
    <n v="46"/>
  </r>
  <r>
    <x v="850"/>
    <d v="2025-01-31T00:00:00"/>
    <x v="1"/>
    <x v="2"/>
    <s v="Desktop"/>
    <s v="Email"/>
    <s v="Free"/>
    <n v="1"/>
    <n v="1"/>
    <n v="1"/>
    <n v="0"/>
    <n v="0"/>
    <n v="0"/>
    <n v="0"/>
    <n v="0"/>
    <n v="88.4"/>
  </r>
  <r>
    <x v="851"/>
    <d v="2025-01-24T00:00:00"/>
    <x v="1"/>
    <x v="0"/>
    <s v="Tablet"/>
    <s v="Organic"/>
    <s v="Basic"/>
    <n v="1"/>
    <n v="0"/>
    <n v="0"/>
    <n v="0"/>
    <n v="0"/>
    <n v="0"/>
    <n v="0"/>
    <n v="0"/>
    <n v="69.5"/>
  </r>
  <r>
    <x v="852"/>
    <d v="2025-02-14T00:00:00"/>
    <x v="1"/>
    <x v="0"/>
    <s v="Desktop"/>
    <s v="Referral"/>
    <s v="Basic"/>
    <n v="1"/>
    <n v="1"/>
    <n v="1"/>
    <n v="0"/>
    <n v="0"/>
    <n v="0"/>
    <n v="0"/>
    <n v="0"/>
    <n v="74.2"/>
  </r>
  <r>
    <x v="853"/>
    <d v="2025-05-27T00:00:00"/>
    <x v="1"/>
    <x v="0"/>
    <s v="Mobile"/>
    <s v="Organic"/>
    <s v="Free"/>
    <n v="1"/>
    <n v="1"/>
    <n v="1"/>
    <n v="0"/>
    <n v="0"/>
    <n v="0"/>
    <n v="0"/>
    <n v="0"/>
    <n v="72.099999999999994"/>
  </r>
  <r>
    <x v="854"/>
    <d v="2025-02-28T00:00:00"/>
    <x v="1"/>
    <x v="0"/>
    <s v="Mobile"/>
    <s v="Paid Search"/>
    <s v="Free"/>
    <n v="1"/>
    <n v="1"/>
    <n v="1"/>
    <n v="1"/>
    <n v="398.33"/>
    <n v="0"/>
    <n v="0"/>
    <n v="5"/>
    <n v="85.1"/>
  </r>
  <r>
    <x v="855"/>
    <d v="2025-05-27T00:00:00"/>
    <x v="1"/>
    <x v="0"/>
    <s v="Mobile"/>
    <s v="Organic"/>
    <s v="Basic"/>
    <n v="1"/>
    <n v="1"/>
    <n v="1"/>
    <n v="0"/>
    <n v="0"/>
    <n v="0"/>
    <n v="0"/>
    <n v="0"/>
    <n v="49.5"/>
  </r>
  <r>
    <x v="856"/>
    <d v="2025-05-17T00:00:00"/>
    <x v="1"/>
    <x v="3"/>
    <s v="Mobile"/>
    <s v="Paid Search"/>
    <s v="Premium"/>
    <n v="0"/>
    <n v="0"/>
    <n v="0"/>
    <n v="0"/>
    <n v="0"/>
    <n v="1"/>
    <n v="0"/>
    <n v="0"/>
    <n v="79"/>
  </r>
  <r>
    <x v="857"/>
    <d v="2025-01-10T00:00:00"/>
    <x v="1"/>
    <x v="1"/>
    <s v="Desktop"/>
    <s v="Social"/>
    <s v="Free"/>
    <n v="0"/>
    <n v="0"/>
    <n v="0"/>
    <n v="0"/>
    <n v="0"/>
    <n v="0"/>
    <n v="0"/>
    <n v="0"/>
    <n v="71.8"/>
  </r>
  <r>
    <x v="858"/>
    <d v="2025-04-22T00:00:00"/>
    <x v="1"/>
    <x v="0"/>
    <s v="Mobile"/>
    <s v="Email"/>
    <s v="Basic"/>
    <n v="1"/>
    <n v="1"/>
    <n v="1"/>
    <n v="1"/>
    <n v="1117.54"/>
    <n v="0"/>
    <n v="0"/>
    <n v="6"/>
    <n v="60.4"/>
  </r>
  <r>
    <x v="859"/>
    <d v="2025-03-02T00:00:00"/>
    <x v="1"/>
    <x v="3"/>
    <s v="Desktop"/>
    <s v="Organic"/>
    <s v="Basic"/>
    <n v="1"/>
    <n v="0"/>
    <n v="0"/>
    <n v="0"/>
    <n v="0"/>
    <n v="2"/>
    <n v="0"/>
    <n v="0"/>
    <n v="38.299999999999997"/>
  </r>
  <r>
    <x v="860"/>
    <d v="2025-03-23T00:00:00"/>
    <x v="1"/>
    <x v="2"/>
    <s v="Mobile"/>
    <s v="Paid Search"/>
    <s v="Free"/>
    <n v="1"/>
    <n v="1"/>
    <n v="1"/>
    <n v="0"/>
    <n v="0"/>
    <n v="0"/>
    <n v="0"/>
    <n v="0"/>
    <n v="79.599999999999994"/>
  </r>
  <r>
    <x v="861"/>
    <d v="2025-02-12T00:00:00"/>
    <x v="1"/>
    <x v="2"/>
    <s v="Mobile"/>
    <s v="Email"/>
    <s v="Free"/>
    <n v="1"/>
    <n v="1"/>
    <n v="1"/>
    <n v="0"/>
    <n v="0"/>
    <n v="0"/>
    <n v="0"/>
    <n v="0"/>
    <n v="71.900000000000006"/>
  </r>
  <r>
    <x v="862"/>
    <d v="2025-05-03T00:00:00"/>
    <x v="1"/>
    <x v="3"/>
    <s v="Mobile"/>
    <s v="Referral"/>
    <s v="Basic"/>
    <n v="1"/>
    <n v="0"/>
    <n v="0"/>
    <n v="0"/>
    <n v="0"/>
    <n v="0"/>
    <n v="0"/>
    <n v="0"/>
    <n v="54.6"/>
  </r>
  <r>
    <x v="863"/>
    <d v="2025-03-28T00:00:00"/>
    <x v="1"/>
    <x v="0"/>
    <s v="Desktop"/>
    <s v="Social"/>
    <s v="Free"/>
    <n v="1"/>
    <n v="0"/>
    <n v="0"/>
    <n v="0"/>
    <n v="0"/>
    <n v="3"/>
    <n v="0"/>
    <n v="0"/>
    <n v="49.3"/>
  </r>
  <r>
    <x v="864"/>
    <d v="2025-03-12T00:00:00"/>
    <x v="1"/>
    <x v="0"/>
    <s v="Mobile"/>
    <s v="Social"/>
    <s v="Basic"/>
    <n v="0"/>
    <n v="0"/>
    <n v="0"/>
    <n v="0"/>
    <n v="0"/>
    <n v="1"/>
    <n v="0"/>
    <n v="0"/>
    <n v="66.900000000000006"/>
  </r>
  <r>
    <x v="865"/>
    <d v="2025-04-27T00:00:00"/>
    <x v="1"/>
    <x v="2"/>
    <s v="Mobile"/>
    <s v="Paid Search"/>
    <s v="Free"/>
    <n v="1"/>
    <n v="0"/>
    <n v="0"/>
    <n v="0"/>
    <n v="0"/>
    <n v="1"/>
    <n v="0"/>
    <n v="0"/>
    <n v="77.8"/>
  </r>
  <r>
    <x v="866"/>
    <d v="2025-04-02T00:00:00"/>
    <x v="1"/>
    <x v="3"/>
    <s v="Mobile"/>
    <s v="Referral"/>
    <s v="Basic"/>
    <n v="1"/>
    <n v="0"/>
    <n v="0"/>
    <n v="0"/>
    <n v="0"/>
    <n v="0"/>
    <n v="0"/>
    <n v="0"/>
    <n v="63"/>
  </r>
  <r>
    <x v="867"/>
    <d v="2025-04-21T00:00:00"/>
    <x v="1"/>
    <x v="0"/>
    <s v="Mobile"/>
    <s v="Social"/>
    <s v="Free"/>
    <n v="0"/>
    <n v="0"/>
    <n v="0"/>
    <n v="0"/>
    <n v="0"/>
    <n v="0"/>
    <n v="0"/>
    <n v="0"/>
    <n v="79.8"/>
  </r>
  <r>
    <x v="868"/>
    <d v="2025-01-26T00:00:00"/>
    <x v="1"/>
    <x v="1"/>
    <s v="Desktop"/>
    <s v="Organic"/>
    <s v="Basic"/>
    <n v="0"/>
    <n v="0"/>
    <n v="0"/>
    <n v="0"/>
    <n v="0"/>
    <n v="0"/>
    <n v="0"/>
    <n v="0"/>
    <n v="69.900000000000006"/>
  </r>
  <r>
    <x v="869"/>
    <d v="2025-01-06T00:00:00"/>
    <x v="1"/>
    <x v="1"/>
    <s v="Mobile"/>
    <s v="Organic"/>
    <s v="Free"/>
    <n v="0"/>
    <n v="0"/>
    <n v="0"/>
    <n v="0"/>
    <n v="0"/>
    <n v="1"/>
    <n v="0"/>
    <n v="0"/>
    <n v="66.400000000000006"/>
  </r>
  <r>
    <x v="870"/>
    <d v="2025-02-07T00:00:00"/>
    <x v="1"/>
    <x v="2"/>
    <s v="Mobile"/>
    <s v="Organic"/>
    <s v="Free"/>
    <n v="1"/>
    <n v="0"/>
    <n v="0"/>
    <n v="0"/>
    <n v="0"/>
    <n v="0"/>
    <n v="0"/>
    <n v="0"/>
    <n v="27.6"/>
  </r>
  <r>
    <x v="871"/>
    <d v="2025-05-07T00:00:00"/>
    <x v="1"/>
    <x v="1"/>
    <s v="Mobile"/>
    <s v="Organic"/>
    <s v="Premium"/>
    <n v="1"/>
    <n v="0"/>
    <n v="0"/>
    <n v="0"/>
    <n v="0"/>
    <n v="1"/>
    <n v="0"/>
    <n v="0"/>
    <n v="56.5"/>
  </r>
  <r>
    <x v="872"/>
    <d v="2025-04-22T00:00:00"/>
    <x v="1"/>
    <x v="1"/>
    <s v="Unknown"/>
    <s v="Social"/>
    <s v="Free"/>
    <n v="1"/>
    <n v="0"/>
    <n v="0"/>
    <n v="0"/>
    <n v="0"/>
    <n v="0"/>
    <n v="0"/>
    <n v="0"/>
    <n v="67.8"/>
  </r>
  <r>
    <x v="873"/>
    <d v="2025-05-04T00:00:00"/>
    <x v="1"/>
    <x v="1"/>
    <s v="Desktop"/>
    <s v="Social"/>
    <s v="Free"/>
    <n v="1"/>
    <n v="0"/>
    <n v="0"/>
    <n v="0"/>
    <n v="0"/>
    <n v="0"/>
    <n v="0"/>
    <n v="0"/>
    <n v="80"/>
  </r>
  <r>
    <x v="874"/>
    <d v="2025-05-16T00:00:00"/>
    <x v="1"/>
    <x v="3"/>
    <s v="Mobile"/>
    <s v="Social"/>
    <s v="Basic"/>
    <n v="1"/>
    <n v="1"/>
    <n v="1"/>
    <n v="0"/>
    <n v="0"/>
    <n v="1"/>
    <n v="0"/>
    <n v="0"/>
    <n v="80.900000000000006"/>
  </r>
  <r>
    <x v="875"/>
    <d v="2025-02-11T00:00:00"/>
    <x v="1"/>
    <x v="1"/>
    <s v="Mobile"/>
    <s v="Paid Search"/>
    <s v="Free"/>
    <n v="0"/>
    <n v="0"/>
    <n v="0"/>
    <n v="0"/>
    <n v="0"/>
    <n v="0"/>
    <n v="0"/>
    <n v="0"/>
    <n v="34.5"/>
  </r>
  <r>
    <x v="876"/>
    <d v="2025-05-09T00:00:00"/>
    <x v="1"/>
    <x v="2"/>
    <s v="Desktop"/>
    <s v="Organic"/>
    <s v="Premium"/>
    <n v="1"/>
    <n v="0"/>
    <n v="0"/>
    <n v="0"/>
    <n v="0"/>
    <n v="0"/>
    <n v="0"/>
    <n v="0"/>
    <n v="73.5"/>
  </r>
  <r>
    <x v="877"/>
    <d v="2025-02-09T00:00:00"/>
    <x v="1"/>
    <x v="3"/>
    <s v="Desktop"/>
    <s v="Paid Search"/>
    <s v="Free"/>
    <n v="1"/>
    <n v="1"/>
    <n v="0"/>
    <n v="0"/>
    <n v="0"/>
    <n v="0"/>
    <n v="0"/>
    <n v="0"/>
    <n v="70"/>
  </r>
  <r>
    <x v="878"/>
    <d v="2025-05-22T00:00:00"/>
    <x v="1"/>
    <x v="1"/>
    <s v="Mobile"/>
    <s v="Social"/>
    <s v="Basic"/>
    <n v="0"/>
    <n v="0"/>
    <n v="0"/>
    <n v="0"/>
    <n v="0"/>
    <n v="0"/>
    <n v="0"/>
    <n v="0"/>
    <n v="86.9"/>
  </r>
  <r>
    <x v="879"/>
    <d v="2025-05-24T00:00:00"/>
    <x v="1"/>
    <x v="2"/>
    <s v="Mobile"/>
    <s v="Social"/>
    <s v="Basic"/>
    <n v="0"/>
    <n v="0"/>
    <n v="0"/>
    <n v="0"/>
    <n v="0"/>
    <n v="0"/>
    <n v="0"/>
    <n v="0"/>
    <n v="66.900000000000006"/>
  </r>
  <r>
    <x v="880"/>
    <d v="2025-04-27T00:00:00"/>
    <x v="1"/>
    <x v="3"/>
    <s v="Desktop"/>
    <s v="Social"/>
    <s v="Basic"/>
    <n v="1"/>
    <n v="1"/>
    <n v="1"/>
    <n v="0"/>
    <n v="0"/>
    <n v="0"/>
    <n v="0"/>
    <n v="0"/>
    <n v="58.3"/>
  </r>
  <r>
    <x v="881"/>
    <d v="2025-03-19T00:00:00"/>
    <x v="1"/>
    <x v="2"/>
    <s v="Mobile"/>
    <s v="Paid Search"/>
    <s v="Free"/>
    <n v="1"/>
    <n v="0"/>
    <n v="0"/>
    <n v="0"/>
    <n v="0"/>
    <n v="0"/>
    <n v="0"/>
    <n v="0"/>
    <n v="45"/>
  </r>
  <r>
    <x v="882"/>
    <d v="2025-05-20T00:00:00"/>
    <x v="1"/>
    <x v="3"/>
    <s v="Mobile"/>
    <s v="Organic"/>
    <s v="Premium"/>
    <n v="0"/>
    <n v="0"/>
    <n v="0"/>
    <n v="0"/>
    <n v="0"/>
    <n v="0"/>
    <n v="0"/>
    <n v="0"/>
    <n v="60.8"/>
  </r>
  <r>
    <x v="883"/>
    <d v="2025-05-10T00:00:00"/>
    <x v="1"/>
    <x v="0"/>
    <s v="Mobile"/>
    <s v="Email"/>
    <s v="Premium"/>
    <n v="1"/>
    <n v="0"/>
    <n v="0"/>
    <n v="0"/>
    <n v="0"/>
    <n v="4"/>
    <n v="0"/>
    <n v="0"/>
    <n v="53.7"/>
  </r>
  <r>
    <x v="884"/>
    <d v="2025-03-29T00:00:00"/>
    <x v="1"/>
    <x v="2"/>
    <s v="Mobile"/>
    <s v="Social"/>
    <s v="Free"/>
    <n v="1"/>
    <n v="1"/>
    <n v="1"/>
    <n v="0"/>
    <n v="0"/>
    <n v="0"/>
    <n v="0"/>
    <n v="0"/>
    <n v="48.8"/>
  </r>
  <r>
    <x v="885"/>
    <d v="2025-04-03T00:00:00"/>
    <x v="1"/>
    <x v="1"/>
    <s v="Desktop"/>
    <s v="Referral"/>
    <s v="Basic"/>
    <n v="0"/>
    <n v="0"/>
    <n v="0"/>
    <n v="0"/>
    <n v="0"/>
    <n v="0"/>
    <n v="0"/>
    <n v="0"/>
    <n v="52.9"/>
  </r>
  <r>
    <x v="886"/>
    <d v="2025-05-30T00:00:00"/>
    <x v="1"/>
    <x v="3"/>
    <s v="Mobile"/>
    <s v="Email"/>
    <s v="Free"/>
    <n v="1"/>
    <n v="0"/>
    <n v="0"/>
    <n v="0"/>
    <n v="0"/>
    <n v="0"/>
    <n v="0"/>
    <n v="0"/>
    <n v="42.4"/>
  </r>
  <r>
    <x v="887"/>
    <d v="2025-04-06T00:00:00"/>
    <x v="1"/>
    <x v="2"/>
    <s v="Desktop"/>
    <s v="Email"/>
    <s v="Free"/>
    <n v="1"/>
    <n v="0"/>
    <n v="0"/>
    <n v="0"/>
    <n v="0"/>
    <n v="0"/>
    <n v="0"/>
    <n v="0"/>
    <n v="58.7"/>
  </r>
  <r>
    <x v="888"/>
    <d v="2025-03-14T00:00:00"/>
    <x v="1"/>
    <x v="0"/>
    <s v="Mobile"/>
    <s v="Referral"/>
    <s v="Free"/>
    <n v="1"/>
    <n v="1"/>
    <n v="1"/>
    <n v="1"/>
    <n v="2064.5500000000002"/>
    <n v="0"/>
    <n v="0"/>
    <n v="1"/>
    <n v="67.8"/>
  </r>
  <r>
    <x v="889"/>
    <d v="2025-02-24T00:00:00"/>
    <x v="1"/>
    <x v="3"/>
    <s v="Desktop"/>
    <s v="Paid Search"/>
    <s v="Basic"/>
    <n v="1"/>
    <n v="0"/>
    <n v="0"/>
    <n v="0"/>
    <n v="0"/>
    <n v="0"/>
    <n v="0"/>
    <n v="0"/>
    <n v="62.6"/>
  </r>
  <r>
    <x v="890"/>
    <d v="2025-03-04T00:00:00"/>
    <x v="1"/>
    <x v="1"/>
    <s v="Mobile"/>
    <s v="Email"/>
    <s v="Basic"/>
    <n v="1"/>
    <n v="0"/>
    <n v="0"/>
    <n v="0"/>
    <n v="0"/>
    <n v="0"/>
    <n v="0"/>
    <n v="0"/>
    <n v="82.4"/>
  </r>
  <r>
    <x v="891"/>
    <d v="2025-04-02T00:00:00"/>
    <x v="1"/>
    <x v="0"/>
    <s v="Mobile"/>
    <s v="Organic"/>
    <s v="Free"/>
    <n v="1"/>
    <n v="1"/>
    <n v="1"/>
    <n v="0"/>
    <n v="0"/>
    <n v="0"/>
    <n v="0"/>
    <n v="0"/>
    <n v="50.4"/>
  </r>
  <r>
    <x v="892"/>
    <d v="2025-05-11T00:00:00"/>
    <x v="1"/>
    <x v="0"/>
    <s v="Mobile"/>
    <s v="Email"/>
    <s v="Premium"/>
    <n v="0"/>
    <n v="0"/>
    <n v="0"/>
    <n v="0"/>
    <n v="0"/>
    <n v="0"/>
    <n v="0"/>
    <n v="0"/>
    <n v="68.400000000000006"/>
  </r>
  <r>
    <x v="893"/>
    <d v="2025-05-10T00:00:00"/>
    <x v="1"/>
    <x v="1"/>
    <s v="Tablet"/>
    <s v="Paid Search"/>
    <s v="Basic"/>
    <n v="1"/>
    <n v="1"/>
    <n v="1"/>
    <n v="0"/>
    <n v="0"/>
    <n v="0"/>
    <n v="0"/>
    <n v="0"/>
    <n v="58.8"/>
  </r>
  <r>
    <x v="894"/>
    <d v="2025-05-06T00:00:00"/>
    <x v="1"/>
    <x v="1"/>
    <s v="Mobile"/>
    <s v="Referral"/>
    <s v="Free"/>
    <n v="1"/>
    <n v="1"/>
    <n v="0"/>
    <n v="0"/>
    <n v="0"/>
    <n v="2"/>
    <n v="0"/>
    <n v="0"/>
    <n v="28.3"/>
  </r>
  <r>
    <x v="895"/>
    <d v="2025-02-11T00:00:00"/>
    <x v="1"/>
    <x v="1"/>
    <s v="Desktop"/>
    <s v="Paid Search"/>
    <s v="Free"/>
    <n v="1"/>
    <n v="1"/>
    <n v="0"/>
    <n v="0"/>
    <n v="0"/>
    <n v="0"/>
    <n v="0"/>
    <n v="0"/>
    <n v="44.1"/>
  </r>
  <r>
    <x v="896"/>
    <d v="2025-05-09T00:00:00"/>
    <x v="1"/>
    <x v="3"/>
    <s v="Mobile"/>
    <s v="Paid Search"/>
    <s v="Premium"/>
    <n v="1"/>
    <n v="1"/>
    <n v="0"/>
    <n v="0"/>
    <n v="0"/>
    <n v="0"/>
    <n v="0"/>
    <n v="0"/>
    <n v="66.7"/>
  </r>
  <r>
    <x v="897"/>
    <d v="2025-02-02T00:00:00"/>
    <x v="1"/>
    <x v="3"/>
    <s v="Mobile"/>
    <s v="Unknown"/>
    <s v="Free"/>
    <n v="1"/>
    <n v="0"/>
    <n v="0"/>
    <n v="0"/>
    <n v="0"/>
    <n v="0"/>
    <n v="0"/>
    <n v="0"/>
    <n v="100"/>
  </r>
  <r>
    <x v="898"/>
    <d v="2025-04-03T00:00:00"/>
    <x v="1"/>
    <x v="3"/>
    <s v="Mobile"/>
    <s v="Social"/>
    <s v="Free"/>
    <n v="1"/>
    <n v="1"/>
    <n v="0"/>
    <n v="0"/>
    <n v="0"/>
    <n v="0"/>
    <n v="0"/>
    <n v="0"/>
    <n v="87.5"/>
  </r>
  <r>
    <x v="899"/>
    <d v="2025-02-15T00:00:00"/>
    <x v="1"/>
    <x v="0"/>
    <s v="Desktop"/>
    <s v="Organic"/>
    <s v="Basic"/>
    <n v="1"/>
    <n v="0"/>
    <n v="0"/>
    <n v="0"/>
    <n v="0"/>
    <n v="2"/>
    <n v="0"/>
    <n v="0"/>
    <n v="65.400000000000006"/>
  </r>
  <r>
    <x v="900"/>
    <d v="2025-04-18T00:00:00"/>
    <x v="1"/>
    <x v="3"/>
    <s v="Desktop"/>
    <s v="Organic"/>
    <s v="Free"/>
    <n v="1"/>
    <n v="0"/>
    <n v="0"/>
    <n v="0"/>
    <n v="0"/>
    <n v="0"/>
    <n v="0"/>
    <n v="0"/>
    <n v="22.9"/>
  </r>
  <r>
    <x v="901"/>
    <d v="2025-03-14T00:00:00"/>
    <x v="1"/>
    <x v="1"/>
    <s v="Desktop"/>
    <s v="Organic"/>
    <s v="Premium"/>
    <n v="0"/>
    <n v="0"/>
    <n v="0"/>
    <n v="0"/>
    <n v="0"/>
    <n v="0"/>
    <n v="0"/>
    <n v="0"/>
    <n v="64.599999999999994"/>
  </r>
  <r>
    <x v="902"/>
    <d v="2025-03-29T00:00:00"/>
    <x v="1"/>
    <x v="3"/>
    <s v="Mobile"/>
    <s v="Referral"/>
    <s v="Free"/>
    <n v="1"/>
    <n v="0"/>
    <n v="0"/>
    <n v="0"/>
    <n v="0"/>
    <n v="2"/>
    <n v="0"/>
    <n v="0"/>
    <n v="54.4"/>
  </r>
  <r>
    <x v="903"/>
    <d v="2025-02-13T00:00:00"/>
    <x v="1"/>
    <x v="0"/>
    <s v="Desktop"/>
    <s v="Organic"/>
    <s v="Free"/>
    <n v="1"/>
    <n v="1"/>
    <n v="1"/>
    <n v="0"/>
    <n v="0"/>
    <n v="0"/>
    <n v="0"/>
    <n v="0"/>
    <n v="56.8"/>
  </r>
  <r>
    <x v="904"/>
    <d v="2025-01-23T00:00:00"/>
    <x v="1"/>
    <x v="3"/>
    <s v="Mobile"/>
    <s v="Paid Search"/>
    <s v="Free"/>
    <n v="1"/>
    <n v="1"/>
    <n v="1"/>
    <n v="1"/>
    <n v="341.38"/>
    <n v="0"/>
    <n v="0"/>
    <n v="2"/>
    <n v="63.6"/>
  </r>
  <r>
    <x v="905"/>
    <d v="2025-02-24T00:00:00"/>
    <x v="1"/>
    <x v="2"/>
    <s v="Mobile"/>
    <s v="Social"/>
    <s v="Free"/>
    <n v="1"/>
    <n v="0"/>
    <n v="0"/>
    <n v="0"/>
    <n v="0"/>
    <n v="0"/>
    <n v="0"/>
    <n v="0"/>
    <n v="58.2"/>
  </r>
  <r>
    <x v="906"/>
    <d v="2025-02-28T00:00:00"/>
    <x v="1"/>
    <x v="1"/>
    <s v="Mobile"/>
    <s v="Paid Search"/>
    <s v="Free"/>
    <n v="1"/>
    <n v="1"/>
    <n v="0"/>
    <n v="0"/>
    <n v="0"/>
    <n v="0"/>
    <n v="0"/>
    <n v="0"/>
    <n v="54.6"/>
  </r>
  <r>
    <x v="907"/>
    <d v="2025-01-07T00:00:00"/>
    <x v="1"/>
    <x v="1"/>
    <s v="Tablet"/>
    <s v="Organic"/>
    <s v="Basic"/>
    <n v="1"/>
    <n v="0"/>
    <n v="0"/>
    <n v="0"/>
    <n v="0"/>
    <n v="0"/>
    <n v="0"/>
    <n v="0"/>
    <n v="81.900000000000006"/>
  </r>
  <r>
    <x v="908"/>
    <d v="2025-03-21T00:00:00"/>
    <x v="1"/>
    <x v="1"/>
    <s v="Desktop"/>
    <s v="Email"/>
    <s v="Free"/>
    <n v="1"/>
    <n v="0"/>
    <n v="0"/>
    <n v="0"/>
    <n v="0"/>
    <n v="3"/>
    <n v="0"/>
    <n v="0"/>
    <n v="53.3"/>
  </r>
  <r>
    <x v="909"/>
    <d v="2025-02-18T00:00:00"/>
    <x v="1"/>
    <x v="0"/>
    <s v="Desktop"/>
    <s v="Organic"/>
    <s v="Basic"/>
    <n v="0"/>
    <n v="0"/>
    <n v="0"/>
    <n v="0"/>
    <n v="0"/>
    <n v="0"/>
    <n v="0"/>
    <n v="0"/>
    <n v="54.2"/>
  </r>
  <r>
    <x v="910"/>
    <d v="2025-01-05T00:00:00"/>
    <x v="1"/>
    <x v="0"/>
    <s v="Mobile"/>
    <s v="Paid Search"/>
    <s v="Free"/>
    <n v="1"/>
    <n v="1"/>
    <n v="0"/>
    <n v="0"/>
    <n v="0"/>
    <n v="0"/>
    <n v="0"/>
    <n v="0"/>
    <n v="65.599999999999994"/>
  </r>
  <r>
    <x v="911"/>
    <d v="2025-03-11T00:00:00"/>
    <x v="1"/>
    <x v="2"/>
    <s v="Desktop"/>
    <s v="Organic"/>
    <s v="Basic"/>
    <n v="1"/>
    <n v="0"/>
    <n v="0"/>
    <n v="0"/>
    <n v="0"/>
    <n v="1"/>
    <n v="0"/>
    <n v="0"/>
    <n v="56.5"/>
  </r>
  <r>
    <x v="912"/>
    <d v="2025-01-09T00:00:00"/>
    <x v="1"/>
    <x v="0"/>
    <s v="Desktop"/>
    <s v="Organic"/>
    <s v="Basic"/>
    <n v="1"/>
    <n v="0"/>
    <n v="0"/>
    <n v="0"/>
    <n v="0"/>
    <n v="0"/>
    <n v="0"/>
    <n v="0"/>
    <n v="59.7"/>
  </r>
  <r>
    <x v="913"/>
    <d v="2025-01-08T00:00:00"/>
    <x v="1"/>
    <x v="3"/>
    <s v="Mobile"/>
    <s v="Organic"/>
    <s v="Free"/>
    <n v="1"/>
    <n v="1"/>
    <n v="1"/>
    <n v="0"/>
    <n v="0"/>
    <n v="0"/>
    <n v="0"/>
    <n v="0"/>
    <n v="72.5"/>
  </r>
  <r>
    <x v="914"/>
    <d v="2025-05-01T00:00:00"/>
    <x v="1"/>
    <x v="2"/>
    <s v="Desktop"/>
    <s v="Paid Search"/>
    <s v="Free"/>
    <n v="1"/>
    <n v="0"/>
    <n v="0"/>
    <n v="0"/>
    <n v="0"/>
    <n v="0"/>
    <n v="0"/>
    <n v="0"/>
    <n v="64.3"/>
  </r>
  <r>
    <x v="915"/>
    <d v="2025-03-03T00:00:00"/>
    <x v="1"/>
    <x v="3"/>
    <s v="Mobile"/>
    <s v="Social"/>
    <s v="Free"/>
    <n v="1"/>
    <n v="0"/>
    <n v="0"/>
    <n v="0"/>
    <n v="0"/>
    <n v="0"/>
    <n v="0"/>
    <n v="0"/>
    <n v="64.5"/>
  </r>
  <r>
    <x v="916"/>
    <d v="2025-02-23T00:00:00"/>
    <x v="1"/>
    <x v="1"/>
    <s v="Desktop"/>
    <s v="Social"/>
    <s v="Basic"/>
    <n v="1"/>
    <n v="1"/>
    <n v="1"/>
    <n v="0"/>
    <n v="0"/>
    <n v="0"/>
    <n v="0"/>
    <n v="0"/>
    <n v="70.599999999999994"/>
  </r>
  <r>
    <x v="917"/>
    <d v="2025-02-17T00:00:00"/>
    <x v="1"/>
    <x v="3"/>
    <s v="Desktop"/>
    <s v="Organic"/>
    <s v="Basic"/>
    <n v="0"/>
    <n v="0"/>
    <n v="0"/>
    <n v="0"/>
    <n v="0"/>
    <n v="0"/>
    <n v="0"/>
    <n v="0"/>
    <n v="58.4"/>
  </r>
  <r>
    <x v="918"/>
    <d v="2025-05-21T00:00:00"/>
    <x v="1"/>
    <x v="2"/>
    <s v="Mobile"/>
    <s v="Organic"/>
    <s v="Basic"/>
    <n v="1"/>
    <n v="0"/>
    <n v="0"/>
    <n v="0"/>
    <n v="0"/>
    <n v="0"/>
    <n v="0"/>
    <n v="0"/>
    <n v="56.6"/>
  </r>
  <r>
    <x v="919"/>
    <d v="2025-01-30T00:00:00"/>
    <x v="1"/>
    <x v="3"/>
    <s v="Mobile"/>
    <s v="Organic"/>
    <s v="Free"/>
    <n v="1"/>
    <n v="0"/>
    <n v="0"/>
    <n v="0"/>
    <n v="0"/>
    <n v="0"/>
    <n v="0"/>
    <n v="0"/>
    <n v="61.8"/>
  </r>
  <r>
    <x v="920"/>
    <d v="2025-03-20T00:00:00"/>
    <x v="1"/>
    <x v="1"/>
    <s v="Mobile"/>
    <s v="Email"/>
    <s v="Free"/>
    <n v="1"/>
    <n v="1"/>
    <n v="1"/>
    <n v="1"/>
    <n v="513.52"/>
    <n v="0"/>
    <n v="0"/>
    <n v="8"/>
    <n v="43.4"/>
  </r>
  <r>
    <x v="921"/>
    <d v="2025-04-10T00:00:00"/>
    <x v="1"/>
    <x v="1"/>
    <s v="Tablet"/>
    <s v="Paid Search"/>
    <s v="Free"/>
    <n v="0"/>
    <n v="0"/>
    <n v="0"/>
    <n v="0"/>
    <n v="0"/>
    <n v="0"/>
    <n v="0"/>
    <n v="0"/>
    <n v="43"/>
  </r>
  <r>
    <x v="922"/>
    <d v="2025-03-07T00:00:00"/>
    <x v="1"/>
    <x v="0"/>
    <s v="Desktop"/>
    <s v="Organic"/>
    <s v="Free"/>
    <n v="1"/>
    <n v="1"/>
    <n v="1"/>
    <n v="0"/>
    <n v="0"/>
    <n v="0"/>
    <n v="0"/>
    <n v="0"/>
    <n v="51.1"/>
  </r>
  <r>
    <x v="923"/>
    <d v="2025-03-12T00:00:00"/>
    <x v="1"/>
    <x v="1"/>
    <s v="Mobile"/>
    <s v="Email"/>
    <s v="Basic"/>
    <n v="1"/>
    <n v="0"/>
    <n v="0"/>
    <n v="0"/>
    <n v="0"/>
    <n v="0"/>
    <n v="0"/>
    <n v="0"/>
    <n v="48.8"/>
  </r>
  <r>
    <x v="924"/>
    <d v="2025-02-24T00:00:00"/>
    <x v="1"/>
    <x v="2"/>
    <s v="Mobile"/>
    <s v="Referral"/>
    <s v="Free"/>
    <n v="0"/>
    <n v="0"/>
    <n v="0"/>
    <n v="0"/>
    <n v="0"/>
    <n v="0"/>
    <n v="0"/>
    <n v="0"/>
    <n v="73.2"/>
  </r>
  <r>
    <x v="925"/>
    <d v="2025-01-15T00:00:00"/>
    <x v="1"/>
    <x v="2"/>
    <s v="Mobile"/>
    <s v="Referral"/>
    <s v="Free"/>
    <n v="1"/>
    <n v="1"/>
    <n v="1"/>
    <n v="0"/>
    <n v="0"/>
    <n v="0"/>
    <n v="0"/>
    <n v="0"/>
    <n v="80"/>
  </r>
  <r>
    <x v="926"/>
    <d v="2025-01-07T00:00:00"/>
    <x v="1"/>
    <x v="0"/>
    <s v="Desktop"/>
    <s v="Paid Search"/>
    <s v="Free"/>
    <n v="1"/>
    <n v="0"/>
    <n v="0"/>
    <n v="0"/>
    <n v="0"/>
    <n v="0"/>
    <n v="0"/>
    <n v="0"/>
    <n v="52.3"/>
  </r>
  <r>
    <x v="927"/>
    <d v="2025-03-02T00:00:00"/>
    <x v="1"/>
    <x v="0"/>
    <s v="Desktop"/>
    <s v="Organic"/>
    <s v="Free"/>
    <n v="0"/>
    <n v="0"/>
    <n v="0"/>
    <n v="0"/>
    <n v="0"/>
    <n v="0"/>
    <n v="0"/>
    <n v="0"/>
    <n v="49.1"/>
  </r>
  <r>
    <x v="928"/>
    <d v="2025-01-05T00:00:00"/>
    <x v="1"/>
    <x v="3"/>
    <s v="Desktop"/>
    <s v="Referral"/>
    <s v="Basic"/>
    <n v="0"/>
    <n v="0"/>
    <n v="0"/>
    <n v="0"/>
    <n v="0"/>
    <n v="0"/>
    <n v="0"/>
    <n v="0"/>
    <n v="45.3"/>
  </r>
  <r>
    <x v="929"/>
    <d v="2025-03-03T00:00:00"/>
    <x v="1"/>
    <x v="3"/>
    <s v="Mobile"/>
    <s v="Organic"/>
    <s v="Free"/>
    <n v="1"/>
    <n v="1"/>
    <n v="0"/>
    <n v="0"/>
    <n v="0"/>
    <n v="0"/>
    <n v="0"/>
    <n v="0"/>
    <n v="49.1"/>
  </r>
  <r>
    <x v="930"/>
    <d v="2025-03-31T00:00:00"/>
    <x v="1"/>
    <x v="2"/>
    <s v="Desktop"/>
    <s v="Referral"/>
    <s v="Free"/>
    <n v="1"/>
    <n v="1"/>
    <n v="1"/>
    <n v="1"/>
    <n v="476.44"/>
    <n v="0"/>
    <n v="0"/>
    <n v="3"/>
    <n v="88.6"/>
  </r>
  <r>
    <x v="931"/>
    <d v="2025-01-14T00:00:00"/>
    <x v="1"/>
    <x v="2"/>
    <s v="Desktop"/>
    <s v="Paid Search"/>
    <s v="Premium"/>
    <n v="0"/>
    <n v="0"/>
    <n v="0"/>
    <n v="0"/>
    <n v="0"/>
    <n v="1"/>
    <n v="0"/>
    <n v="0"/>
    <n v="54.4"/>
  </r>
  <r>
    <x v="932"/>
    <d v="2025-01-15T00:00:00"/>
    <x v="1"/>
    <x v="1"/>
    <s v="Desktop"/>
    <s v="Paid Search"/>
    <s v="Premium"/>
    <n v="1"/>
    <n v="0"/>
    <n v="0"/>
    <n v="0"/>
    <n v="0"/>
    <n v="0"/>
    <n v="0"/>
    <n v="0"/>
    <n v="72.900000000000006"/>
  </r>
  <r>
    <x v="933"/>
    <d v="2025-04-25T00:00:00"/>
    <x v="1"/>
    <x v="1"/>
    <s v="Desktop"/>
    <s v="Organic"/>
    <s v="Free"/>
    <n v="1"/>
    <n v="0"/>
    <n v="0"/>
    <n v="0"/>
    <n v="0"/>
    <n v="0"/>
    <n v="0"/>
    <n v="0"/>
    <n v="53.2"/>
  </r>
  <r>
    <x v="934"/>
    <d v="2025-03-21T00:00:00"/>
    <x v="1"/>
    <x v="2"/>
    <s v="Mobile"/>
    <s v="Organic"/>
    <s v="Basic"/>
    <n v="1"/>
    <n v="1"/>
    <n v="0"/>
    <n v="0"/>
    <n v="0"/>
    <n v="0"/>
    <n v="0"/>
    <n v="0"/>
    <n v="48.7"/>
  </r>
  <r>
    <x v="935"/>
    <d v="2025-04-26T00:00:00"/>
    <x v="1"/>
    <x v="3"/>
    <s v="Mobile"/>
    <s v="Paid Search"/>
    <s v="Basic"/>
    <n v="1"/>
    <n v="1"/>
    <n v="1"/>
    <n v="0"/>
    <n v="0"/>
    <n v="0"/>
    <n v="0"/>
    <n v="0"/>
    <n v="59.9"/>
  </r>
  <r>
    <x v="936"/>
    <d v="2025-05-21T00:00:00"/>
    <x v="1"/>
    <x v="3"/>
    <s v="Desktop"/>
    <s v="Unknown"/>
    <s v="Basic"/>
    <n v="0"/>
    <n v="0"/>
    <n v="0"/>
    <n v="0"/>
    <n v="0"/>
    <n v="0"/>
    <n v="0"/>
    <n v="0"/>
    <n v="82"/>
  </r>
  <r>
    <x v="937"/>
    <d v="2025-04-18T00:00:00"/>
    <x v="1"/>
    <x v="2"/>
    <s v="Mobile"/>
    <s v="Paid Search"/>
    <s v="Free"/>
    <n v="0"/>
    <n v="0"/>
    <n v="0"/>
    <n v="0"/>
    <n v="0"/>
    <n v="0"/>
    <n v="0"/>
    <n v="0"/>
    <n v="72.099999999999994"/>
  </r>
  <r>
    <x v="938"/>
    <d v="2025-01-29T00:00:00"/>
    <x v="1"/>
    <x v="0"/>
    <s v="Desktop"/>
    <s v="Email"/>
    <s v="Premium"/>
    <n v="1"/>
    <n v="1"/>
    <n v="0"/>
    <n v="0"/>
    <n v="0"/>
    <n v="0"/>
    <n v="0"/>
    <n v="0"/>
    <n v="68.3"/>
  </r>
  <r>
    <x v="939"/>
    <d v="2025-05-28T00:00:00"/>
    <x v="1"/>
    <x v="1"/>
    <s v="Mobile"/>
    <s v="Organic"/>
    <s v="Premium"/>
    <n v="0"/>
    <n v="0"/>
    <n v="0"/>
    <n v="0"/>
    <n v="0"/>
    <n v="0"/>
    <n v="0"/>
    <n v="0"/>
    <n v="100"/>
  </r>
  <r>
    <x v="940"/>
    <d v="2025-01-15T00:00:00"/>
    <x v="1"/>
    <x v="2"/>
    <s v="Mobile"/>
    <s v="Email"/>
    <s v="Free"/>
    <n v="1"/>
    <n v="1"/>
    <n v="1"/>
    <n v="0"/>
    <n v="0"/>
    <n v="2"/>
    <n v="0"/>
    <n v="0"/>
    <n v="76.5"/>
  </r>
  <r>
    <x v="941"/>
    <d v="2025-01-03T00:00:00"/>
    <x v="1"/>
    <x v="3"/>
    <s v="Mobile"/>
    <s v="Organic"/>
    <s v="Basic"/>
    <n v="1"/>
    <n v="1"/>
    <n v="0"/>
    <n v="0"/>
    <n v="0"/>
    <n v="0"/>
    <n v="0"/>
    <n v="0"/>
    <n v="62"/>
  </r>
  <r>
    <x v="942"/>
    <d v="2025-02-04T00:00:00"/>
    <x v="1"/>
    <x v="3"/>
    <s v="Mobile"/>
    <s v="Paid Search"/>
    <s v="Free"/>
    <n v="1"/>
    <n v="1"/>
    <n v="1"/>
    <n v="1"/>
    <n v="324.68"/>
    <n v="1"/>
    <n v="0"/>
    <n v="7"/>
    <n v="50.1"/>
  </r>
  <r>
    <x v="943"/>
    <d v="2025-02-22T00:00:00"/>
    <x v="1"/>
    <x v="3"/>
    <s v="Mobile"/>
    <s v="Referral"/>
    <s v="Premium"/>
    <n v="1"/>
    <n v="0"/>
    <n v="0"/>
    <n v="0"/>
    <n v="0"/>
    <n v="0"/>
    <n v="0"/>
    <n v="0"/>
    <n v="62.1"/>
  </r>
  <r>
    <x v="944"/>
    <d v="2025-05-06T00:00:00"/>
    <x v="1"/>
    <x v="1"/>
    <s v="Mobile"/>
    <s v="Organic"/>
    <s v="Basic"/>
    <n v="1"/>
    <n v="0"/>
    <n v="0"/>
    <n v="0"/>
    <n v="0"/>
    <n v="0"/>
    <n v="0"/>
    <n v="0"/>
    <n v="49.7"/>
  </r>
  <r>
    <x v="945"/>
    <d v="2025-01-31T00:00:00"/>
    <x v="1"/>
    <x v="3"/>
    <s v="Mobile"/>
    <s v="Organic"/>
    <s v="Free"/>
    <n v="1"/>
    <n v="0"/>
    <n v="0"/>
    <n v="0"/>
    <n v="0"/>
    <n v="3"/>
    <n v="0"/>
    <n v="0"/>
    <n v="71.099999999999994"/>
  </r>
  <r>
    <x v="946"/>
    <d v="2025-02-18T00:00:00"/>
    <x v="1"/>
    <x v="0"/>
    <s v="Mobile"/>
    <s v="Social"/>
    <s v="Basic"/>
    <n v="0"/>
    <n v="0"/>
    <n v="0"/>
    <n v="0"/>
    <n v="0"/>
    <n v="0"/>
    <n v="0"/>
    <n v="0"/>
    <n v="70.8"/>
  </r>
  <r>
    <x v="947"/>
    <d v="2025-04-23T00:00:00"/>
    <x v="1"/>
    <x v="2"/>
    <s v="Mobile"/>
    <s v="Paid Search"/>
    <s v="Free"/>
    <n v="1"/>
    <n v="1"/>
    <n v="1"/>
    <n v="1"/>
    <n v="301.98"/>
    <n v="0"/>
    <n v="0"/>
    <n v="10"/>
    <n v="52.2"/>
  </r>
  <r>
    <x v="948"/>
    <d v="2025-02-06T00:00:00"/>
    <x v="1"/>
    <x v="0"/>
    <s v="Mobile"/>
    <s v="Organic"/>
    <s v="Free"/>
    <n v="1"/>
    <n v="1"/>
    <n v="1"/>
    <n v="0"/>
    <n v="0"/>
    <n v="0"/>
    <n v="0"/>
    <n v="0"/>
    <n v="73"/>
  </r>
  <r>
    <x v="949"/>
    <d v="2025-04-26T00:00:00"/>
    <x v="1"/>
    <x v="3"/>
    <s v="Desktop"/>
    <s v="Paid Search"/>
    <s v="Free"/>
    <n v="0"/>
    <n v="0"/>
    <n v="0"/>
    <n v="0"/>
    <n v="0"/>
    <n v="0"/>
    <n v="0"/>
    <n v="0"/>
    <n v="78.2"/>
  </r>
  <r>
    <x v="950"/>
    <d v="2025-03-30T00:00:00"/>
    <x v="1"/>
    <x v="1"/>
    <s v="Desktop"/>
    <s v="Paid Search"/>
    <s v="Basic"/>
    <n v="1"/>
    <n v="0"/>
    <n v="0"/>
    <n v="0"/>
    <n v="0"/>
    <n v="0"/>
    <n v="0"/>
    <n v="0"/>
    <n v="68.8"/>
  </r>
  <r>
    <x v="951"/>
    <d v="2025-04-13T00:00:00"/>
    <x v="1"/>
    <x v="1"/>
    <s v="Mobile"/>
    <s v="Unknown"/>
    <s v="Premium"/>
    <n v="1"/>
    <n v="0"/>
    <n v="0"/>
    <n v="0"/>
    <n v="0"/>
    <n v="0"/>
    <n v="0"/>
    <n v="0"/>
    <n v="57.1"/>
  </r>
  <r>
    <x v="952"/>
    <d v="2025-04-04T00:00:00"/>
    <x v="1"/>
    <x v="2"/>
    <s v="Desktop"/>
    <s v="Organic"/>
    <s v="Premium"/>
    <n v="0"/>
    <n v="0"/>
    <n v="0"/>
    <n v="0"/>
    <n v="0"/>
    <n v="1"/>
    <n v="0"/>
    <n v="0"/>
    <n v="74.599999999999994"/>
  </r>
  <r>
    <x v="953"/>
    <d v="2025-04-03T00:00:00"/>
    <x v="1"/>
    <x v="0"/>
    <s v="Desktop"/>
    <s v="Referral"/>
    <s v="Free"/>
    <n v="1"/>
    <n v="0"/>
    <n v="0"/>
    <n v="0"/>
    <n v="0"/>
    <n v="1"/>
    <n v="0"/>
    <n v="0"/>
    <n v="64.099999999999994"/>
  </r>
  <r>
    <x v="954"/>
    <d v="2025-03-14T00:00:00"/>
    <x v="1"/>
    <x v="1"/>
    <s v="Mobile"/>
    <s v="Paid Search"/>
    <s v="Premium"/>
    <n v="1"/>
    <n v="0"/>
    <n v="0"/>
    <n v="0"/>
    <n v="0"/>
    <n v="0"/>
    <n v="0"/>
    <n v="0"/>
    <n v="67.3"/>
  </r>
  <r>
    <x v="955"/>
    <d v="2025-01-14T00:00:00"/>
    <x v="1"/>
    <x v="1"/>
    <s v="Mobile"/>
    <s v="Referral"/>
    <s v="Free"/>
    <n v="0"/>
    <n v="0"/>
    <n v="0"/>
    <n v="0"/>
    <n v="0"/>
    <n v="2"/>
    <n v="0"/>
    <n v="0"/>
    <n v="41"/>
  </r>
  <r>
    <x v="956"/>
    <d v="2025-05-05T00:00:00"/>
    <x v="1"/>
    <x v="1"/>
    <s v="Mobile"/>
    <s v="Paid Search"/>
    <s v="Free"/>
    <n v="0"/>
    <n v="0"/>
    <n v="0"/>
    <n v="0"/>
    <n v="0"/>
    <n v="0"/>
    <n v="0"/>
    <n v="0"/>
    <n v="48.1"/>
  </r>
  <r>
    <x v="957"/>
    <d v="2025-05-02T00:00:00"/>
    <x v="1"/>
    <x v="1"/>
    <s v="Desktop"/>
    <s v="Social"/>
    <s v="Free"/>
    <n v="0"/>
    <n v="0"/>
    <n v="0"/>
    <n v="0"/>
    <n v="0"/>
    <n v="1"/>
    <n v="0"/>
    <n v="0"/>
    <n v="60.8"/>
  </r>
  <r>
    <x v="958"/>
    <d v="2025-05-21T00:00:00"/>
    <x v="1"/>
    <x v="2"/>
    <s v="Mobile"/>
    <s v="Organic"/>
    <s v="Free"/>
    <n v="1"/>
    <n v="0"/>
    <n v="0"/>
    <n v="0"/>
    <n v="0"/>
    <n v="0"/>
    <n v="0"/>
    <n v="0"/>
    <n v="63.1"/>
  </r>
  <r>
    <x v="959"/>
    <d v="2025-05-16T00:00:00"/>
    <x v="1"/>
    <x v="0"/>
    <s v="Mobile"/>
    <s v="Referral"/>
    <s v="Premium"/>
    <n v="1"/>
    <n v="0"/>
    <n v="0"/>
    <n v="0"/>
    <n v="0"/>
    <n v="2"/>
    <n v="0"/>
    <n v="0"/>
    <n v="49.7"/>
  </r>
  <r>
    <x v="960"/>
    <d v="2025-05-24T00:00:00"/>
    <x v="1"/>
    <x v="2"/>
    <s v="Desktop"/>
    <s v="Organic"/>
    <s v="Premium"/>
    <n v="1"/>
    <n v="1"/>
    <n v="1"/>
    <n v="0"/>
    <n v="0"/>
    <n v="1"/>
    <n v="0"/>
    <n v="0"/>
    <n v="83.4"/>
  </r>
  <r>
    <x v="961"/>
    <d v="2025-03-18T00:00:00"/>
    <x v="1"/>
    <x v="2"/>
    <s v="Mobile"/>
    <s v="Organic"/>
    <s v="Basic"/>
    <n v="1"/>
    <n v="0"/>
    <n v="0"/>
    <n v="0"/>
    <n v="0"/>
    <n v="0"/>
    <n v="0"/>
    <n v="0"/>
    <n v="75.900000000000006"/>
  </r>
  <r>
    <x v="962"/>
    <d v="2025-01-11T00:00:00"/>
    <x v="1"/>
    <x v="2"/>
    <s v="Desktop"/>
    <s v="Paid Search"/>
    <s v="Free"/>
    <n v="0"/>
    <n v="0"/>
    <n v="0"/>
    <n v="0"/>
    <n v="0"/>
    <n v="1"/>
    <n v="0"/>
    <n v="0"/>
    <n v="71.8"/>
  </r>
  <r>
    <x v="963"/>
    <d v="2025-02-09T00:00:00"/>
    <x v="1"/>
    <x v="3"/>
    <s v="Mobile"/>
    <s v="Organic"/>
    <s v="Basic"/>
    <n v="0"/>
    <n v="0"/>
    <n v="0"/>
    <n v="0"/>
    <n v="0"/>
    <n v="0"/>
    <n v="0"/>
    <n v="0"/>
    <n v="37.9"/>
  </r>
  <r>
    <x v="964"/>
    <d v="2025-03-01T00:00:00"/>
    <x v="1"/>
    <x v="0"/>
    <s v="Desktop"/>
    <s v="Social"/>
    <s v="Free"/>
    <n v="1"/>
    <n v="0"/>
    <n v="0"/>
    <n v="0"/>
    <n v="0"/>
    <n v="0"/>
    <n v="0"/>
    <n v="0"/>
    <n v="59.8"/>
  </r>
  <r>
    <x v="965"/>
    <d v="2025-05-07T00:00:00"/>
    <x v="1"/>
    <x v="0"/>
    <s v="Mobile"/>
    <s v="Organic"/>
    <s v="Basic"/>
    <n v="0"/>
    <n v="0"/>
    <n v="0"/>
    <n v="0"/>
    <n v="0"/>
    <n v="0"/>
    <n v="0"/>
    <n v="0"/>
    <n v="66.900000000000006"/>
  </r>
  <r>
    <x v="966"/>
    <d v="2025-02-19T00:00:00"/>
    <x v="1"/>
    <x v="3"/>
    <s v="Desktop"/>
    <s v="Unknown"/>
    <s v="Free"/>
    <n v="1"/>
    <n v="0"/>
    <n v="0"/>
    <n v="0"/>
    <n v="0"/>
    <n v="0"/>
    <n v="0"/>
    <n v="0"/>
    <n v="59"/>
  </r>
  <r>
    <x v="967"/>
    <d v="2025-02-26T00:00:00"/>
    <x v="1"/>
    <x v="1"/>
    <s v="Mobile"/>
    <s v="Organic"/>
    <s v="Premium"/>
    <n v="1"/>
    <n v="0"/>
    <n v="0"/>
    <n v="0"/>
    <n v="0"/>
    <n v="0"/>
    <n v="0"/>
    <n v="0"/>
    <n v="80.099999999999994"/>
  </r>
  <r>
    <x v="968"/>
    <d v="2025-03-23T00:00:00"/>
    <x v="1"/>
    <x v="3"/>
    <s v="Mobile"/>
    <s v="Social"/>
    <s v="Free"/>
    <n v="0"/>
    <n v="0"/>
    <n v="0"/>
    <n v="0"/>
    <n v="0"/>
    <n v="0"/>
    <n v="0"/>
    <n v="0"/>
    <n v="64.3"/>
  </r>
  <r>
    <x v="969"/>
    <d v="2025-04-25T00:00:00"/>
    <x v="1"/>
    <x v="3"/>
    <s v="Desktop"/>
    <s v="Social"/>
    <s v="Free"/>
    <n v="0"/>
    <n v="0"/>
    <n v="0"/>
    <n v="0"/>
    <n v="0"/>
    <n v="1"/>
    <n v="0"/>
    <n v="0"/>
    <n v="57.4"/>
  </r>
  <r>
    <x v="970"/>
    <d v="2025-05-10T00:00:00"/>
    <x v="1"/>
    <x v="0"/>
    <s v="Desktop"/>
    <s v="Social"/>
    <s v="Free"/>
    <n v="1"/>
    <n v="1"/>
    <n v="1"/>
    <n v="0"/>
    <n v="0"/>
    <n v="0"/>
    <n v="0"/>
    <n v="0"/>
    <n v="83.6"/>
  </r>
  <r>
    <x v="971"/>
    <d v="2025-04-22T00:00:00"/>
    <x v="1"/>
    <x v="2"/>
    <s v="Mobile"/>
    <s v="Paid Search"/>
    <s v="Premium"/>
    <n v="0"/>
    <n v="0"/>
    <n v="0"/>
    <n v="0"/>
    <n v="0"/>
    <n v="0"/>
    <n v="0"/>
    <n v="0"/>
    <n v="45.8"/>
  </r>
  <r>
    <x v="972"/>
    <d v="2025-02-18T00:00:00"/>
    <x v="1"/>
    <x v="1"/>
    <s v="Mobile"/>
    <s v="Referral"/>
    <s v="Basic"/>
    <n v="1"/>
    <n v="1"/>
    <n v="1"/>
    <n v="0"/>
    <n v="0"/>
    <n v="0"/>
    <n v="0"/>
    <n v="0"/>
    <n v="64.3"/>
  </r>
  <r>
    <x v="973"/>
    <d v="2025-01-26T00:00:00"/>
    <x v="1"/>
    <x v="3"/>
    <s v="Mobile"/>
    <s v="Paid Search"/>
    <s v="Premium"/>
    <n v="1"/>
    <n v="1"/>
    <n v="1"/>
    <n v="0"/>
    <n v="0"/>
    <n v="0"/>
    <n v="0"/>
    <n v="0"/>
    <n v="80.5"/>
  </r>
  <r>
    <x v="974"/>
    <d v="2025-04-28T00:00:00"/>
    <x v="1"/>
    <x v="0"/>
    <s v="Mobile"/>
    <s v="Organic"/>
    <s v="Free"/>
    <n v="1"/>
    <n v="0"/>
    <n v="0"/>
    <n v="0"/>
    <n v="0"/>
    <n v="0"/>
    <n v="0"/>
    <n v="0"/>
    <n v="46.3"/>
  </r>
  <r>
    <x v="975"/>
    <d v="2025-04-02T00:00:00"/>
    <x v="1"/>
    <x v="3"/>
    <s v="Desktop"/>
    <s v="Email"/>
    <s v="Basic"/>
    <n v="1"/>
    <n v="0"/>
    <n v="0"/>
    <n v="0"/>
    <n v="0"/>
    <n v="0"/>
    <n v="0"/>
    <n v="0"/>
    <n v="71.599999999999994"/>
  </r>
  <r>
    <x v="976"/>
    <d v="2025-04-12T00:00:00"/>
    <x v="1"/>
    <x v="3"/>
    <s v="Desktop"/>
    <s v="Email"/>
    <s v="Premium"/>
    <n v="1"/>
    <n v="1"/>
    <n v="0"/>
    <n v="0"/>
    <n v="0"/>
    <n v="0"/>
    <n v="0"/>
    <n v="0"/>
    <n v="57.8"/>
  </r>
  <r>
    <x v="977"/>
    <d v="2025-01-03T00:00:00"/>
    <x v="1"/>
    <x v="1"/>
    <s v="Desktop"/>
    <s v="Email"/>
    <s v="Basic"/>
    <n v="1"/>
    <n v="1"/>
    <n v="1"/>
    <n v="0"/>
    <n v="0"/>
    <n v="1"/>
    <n v="0"/>
    <n v="0"/>
    <n v="57.8"/>
  </r>
  <r>
    <x v="978"/>
    <d v="2025-05-08T00:00:00"/>
    <x v="1"/>
    <x v="0"/>
    <s v="Mobile"/>
    <s v="Paid Search"/>
    <s v="Free"/>
    <n v="1"/>
    <n v="0"/>
    <n v="0"/>
    <n v="0"/>
    <n v="0"/>
    <n v="0"/>
    <n v="0"/>
    <n v="0"/>
    <n v="38.299999999999997"/>
  </r>
  <r>
    <x v="979"/>
    <d v="2025-02-20T00:00:00"/>
    <x v="1"/>
    <x v="0"/>
    <s v="Mobile"/>
    <s v="Referral"/>
    <s v="Premium"/>
    <n v="1"/>
    <n v="0"/>
    <n v="0"/>
    <n v="0"/>
    <n v="0"/>
    <n v="1"/>
    <n v="0"/>
    <n v="0"/>
    <n v="66.099999999999994"/>
  </r>
  <r>
    <x v="980"/>
    <d v="2025-03-17T00:00:00"/>
    <x v="1"/>
    <x v="0"/>
    <s v="Desktop"/>
    <s v="Paid Search"/>
    <s v="Premium"/>
    <n v="1"/>
    <n v="0"/>
    <n v="0"/>
    <n v="0"/>
    <n v="0"/>
    <n v="0"/>
    <n v="0"/>
    <n v="0"/>
    <n v="66.5"/>
  </r>
  <r>
    <x v="981"/>
    <d v="2025-04-10T00:00:00"/>
    <x v="1"/>
    <x v="3"/>
    <s v="Desktop"/>
    <s v="Email"/>
    <s v="Free"/>
    <n v="1"/>
    <n v="0"/>
    <n v="0"/>
    <n v="0"/>
    <n v="0"/>
    <n v="3"/>
    <n v="0"/>
    <n v="0"/>
    <n v="51.5"/>
  </r>
  <r>
    <x v="982"/>
    <d v="2025-05-08T00:00:00"/>
    <x v="1"/>
    <x v="0"/>
    <s v="Desktop"/>
    <s v="Referral"/>
    <s v="Free"/>
    <n v="1"/>
    <n v="0"/>
    <n v="0"/>
    <n v="0"/>
    <n v="0"/>
    <n v="0"/>
    <n v="0"/>
    <n v="0"/>
    <n v="59.9"/>
  </r>
  <r>
    <x v="983"/>
    <d v="2025-04-19T00:00:00"/>
    <x v="1"/>
    <x v="1"/>
    <s v="Mobile"/>
    <s v="Paid Search"/>
    <s v="Basic"/>
    <n v="1"/>
    <n v="0"/>
    <n v="0"/>
    <n v="0"/>
    <n v="0"/>
    <n v="0"/>
    <n v="0"/>
    <n v="0"/>
    <n v="58.8"/>
  </r>
  <r>
    <x v="984"/>
    <d v="2025-01-01T00:00:00"/>
    <x v="1"/>
    <x v="3"/>
    <s v="Tablet"/>
    <s v="Paid Search"/>
    <s v="Basic"/>
    <n v="1"/>
    <n v="0"/>
    <n v="0"/>
    <n v="0"/>
    <n v="0"/>
    <n v="0"/>
    <n v="0"/>
    <n v="0"/>
    <n v="69.599999999999994"/>
  </r>
  <r>
    <x v="985"/>
    <d v="2025-03-10T00:00:00"/>
    <x v="1"/>
    <x v="2"/>
    <s v="Mobile"/>
    <s v="Paid Search"/>
    <s v="Free"/>
    <n v="1"/>
    <n v="0"/>
    <n v="0"/>
    <n v="0"/>
    <n v="0"/>
    <n v="0"/>
    <n v="0"/>
    <n v="0"/>
    <n v="77.5"/>
  </r>
  <r>
    <x v="986"/>
    <d v="2025-03-10T00:00:00"/>
    <x v="1"/>
    <x v="2"/>
    <s v="Tablet"/>
    <s v="Social"/>
    <s v="Premium"/>
    <n v="0"/>
    <n v="0"/>
    <n v="0"/>
    <n v="0"/>
    <n v="0"/>
    <n v="2"/>
    <n v="0"/>
    <n v="0"/>
    <n v="57.5"/>
  </r>
  <r>
    <x v="987"/>
    <d v="2025-04-19T00:00:00"/>
    <x v="1"/>
    <x v="1"/>
    <s v="Tablet"/>
    <s v="Email"/>
    <s v="Basic"/>
    <n v="1"/>
    <n v="0"/>
    <n v="0"/>
    <n v="0"/>
    <n v="0"/>
    <n v="0"/>
    <n v="0"/>
    <n v="0"/>
    <n v="64.2"/>
  </r>
  <r>
    <x v="988"/>
    <d v="2025-04-11T00:00:00"/>
    <x v="1"/>
    <x v="1"/>
    <s v="Desktop"/>
    <s v="Organic"/>
    <s v="Free"/>
    <n v="0"/>
    <n v="0"/>
    <n v="0"/>
    <n v="0"/>
    <n v="0"/>
    <n v="0"/>
    <n v="0"/>
    <n v="0"/>
    <n v="60"/>
  </r>
  <r>
    <x v="989"/>
    <d v="2025-04-10T00:00:00"/>
    <x v="1"/>
    <x v="2"/>
    <s v="Mobile"/>
    <s v="Organic"/>
    <s v="Basic"/>
    <n v="1"/>
    <n v="0"/>
    <n v="0"/>
    <n v="0"/>
    <n v="0"/>
    <n v="1"/>
    <n v="0"/>
    <n v="0"/>
    <n v="43.7"/>
  </r>
  <r>
    <x v="990"/>
    <d v="2025-01-13T00:00:00"/>
    <x v="1"/>
    <x v="1"/>
    <s v="Desktop"/>
    <s v="Social"/>
    <s v="Free"/>
    <n v="1"/>
    <n v="0"/>
    <n v="0"/>
    <n v="0"/>
    <n v="0"/>
    <n v="0"/>
    <n v="0"/>
    <n v="0"/>
    <n v="64.900000000000006"/>
  </r>
  <r>
    <x v="991"/>
    <d v="2025-03-28T00:00:00"/>
    <x v="1"/>
    <x v="3"/>
    <s v="Desktop"/>
    <s v="Organic"/>
    <s v="Free"/>
    <n v="1"/>
    <n v="1"/>
    <n v="0"/>
    <n v="0"/>
    <n v="0"/>
    <n v="0"/>
    <n v="0"/>
    <n v="0"/>
    <n v="45.5"/>
  </r>
  <r>
    <x v="992"/>
    <d v="2025-01-29T00:00:00"/>
    <x v="1"/>
    <x v="2"/>
    <s v="Mobile"/>
    <s v="Paid Search"/>
    <s v="Free"/>
    <n v="1"/>
    <n v="1"/>
    <n v="1"/>
    <n v="1"/>
    <n v="1772.97"/>
    <n v="0"/>
    <n v="0"/>
    <n v="8"/>
    <n v="61.2"/>
  </r>
  <r>
    <x v="993"/>
    <d v="2025-03-27T00:00:00"/>
    <x v="1"/>
    <x v="3"/>
    <s v="Mobile"/>
    <s v="Referral"/>
    <s v="Free"/>
    <n v="0"/>
    <n v="0"/>
    <n v="0"/>
    <n v="0"/>
    <n v="0"/>
    <n v="0"/>
    <n v="0"/>
    <n v="0"/>
    <n v="87.8"/>
  </r>
  <r>
    <x v="994"/>
    <d v="2025-03-20T00:00:00"/>
    <x v="1"/>
    <x v="2"/>
    <s v="Tablet"/>
    <s v="Social"/>
    <s v="Free"/>
    <n v="0"/>
    <n v="0"/>
    <n v="0"/>
    <n v="0"/>
    <n v="0"/>
    <n v="0"/>
    <n v="0"/>
    <n v="0"/>
    <n v="86.4"/>
  </r>
  <r>
    <x v="995"/>
    <d v="2025-01-09T00:00:00"/>
    <x v="1"/>
    <x v="0"/>
    <s v="Mobile"/>
    <s v="Paid Search"/>
    <s v="Basic"/>
    <n v="0"/>
    <n v="0"/>
    <n v="0"/>
    <n v="0"/>
    <n v="0"/>
    <n v="1"/>
    <n v="0"/>
    <n v="0"/>
    <n v="71.400000000000006"/>
  </r>
  <r>
    <x v="996"/>
    <d v="2025-04-25T00:00:00"/>
    <x v="1"/>
    <x v="1"/>
    <s v="Mobile"/>
    <s v="Social"/>
    <s v="Free"/>
    <n v="1"/>
    <n v="1"/>
    <n v="1"/>
    <n v="1"/>
    <n v="218.66"/>
    <n v="0"/>
    <n v="1"/>
    <n v="8"/>
    <n v="72.2"/>
  </r>
  <r>
    <x v="997"/>
    <d v="2025-04-11T00:00:00"/>
    <x v="1"/>
    <x v="3"/>
    <s v="Desktop"/>
    <s v="Social"/>
    <s v="Free"/>
    <n v="1"/>
    <n v="0"/>
    <n v="0"/>
    <n v="0"/>
    <n v="0"/>
    <n v="0"/>
    <n v="0"/>
    <n v="0"/>
    <n v="51.9"/>
  </r>
  <r>
    <x v="998"/>
    <d v="2025-02-05T00:00:00"/>
    <x v="1"/>
    <x v="2"/>
    <s v="Mobile"/>
    <s v="Social"/>
    <s v="Basic"/>
    <n v="1"/>
    <n v="1"/>
    <n v="1"/>
    <n v="0"/>
    <n v="0"/>
    <n v="0"/>
    <n v="0"/>
    <n v="0"/>
    <n v="70.3"/>
  </r>
  <r>
    <x v="999"/>
    <d v="2025-03-28T00:00:00"/>
    <x v="1"/>
    <x v="3"/>
    <s v="Mobile"/>
    <s v="Social"/>
    <s v="Premium"/>
    <n v="1"/>
    <n v="0"/>
    <n v="0"/>
    <n v="0"/>
    <n v="0"/>
    <n v="1"/>
    <n v="0"/>
    <n v="0"/>
    <n v="49.2"/>
  </r>
  <r>
    <x v="1000"/>
    <d v="2025-05-14T00:00:00"/>
    <x v="1"/>
    <x v="3"/>
    <s v="Mobile"/>
    <s v="Referral"/>
    <s v="Free"/>
    <n v="0"/>
    <n v="0"/>
    <n v="0"/>
    <n v="0"/>
    <n v="0"/>
    <n v="0"/>
    <n v="0"/>
    <n v="0"/>
    <n v="52.2"/>
  </r>
  <r>
    <x v="1001"/>
    <d v="2025-03-10T00:00:00"/>
    <x v="1"/>
    <x v="2"/>
    <s v="Mobile"/>
    <s v="Paid Search"/>
    <s v="Basic"/>
    <n v="0"/>
    <n v="0"/>
    <n v="0"/>
    <n v="0"/>
    <n v="0"/>
    <n v="1"/>
    <n v="0"/>
    <n v="0"/>
    <n v="62.6"/>
  </r>
  <r>
    <x v="1002"/>
    <d v="2025-04-09T00:00:00"/>
    <x v="1"/>
    <x v="2"/>
    <s v="Desktop"/>
    <s v="Paid Search"/>
    <s v="Free"/>
    <n v="1"/>
    <n v="1"/>
    <n v="0"/>
    <n v="0"/>
    <n v="0"/>
    <n v="0"/>
    <n v="0"/>
    <n v="0"/>
    <n v="100"/>
  </r>
  <r>
    <x v="1003"/>
    <d v="2025-02-13T00:00:00"/>
    <x v="1"/>
    <x v="0"/>
    <s v="Mobile"/>
    <s v="Referral"/>
    <s v="Basic"/>
    <n v="1"/>
    <n v="1"/>
    <n v="1"/>
    <n v="0"/>
    <n v="0"/>
    <n v="2"/>
    <n v="0"/>
    <n v="0"/>
    <n v="45.9"/>
  </r>
  <r>
    <x v="1004"/>
    <d v="2025-05-03T00:00:00"/>
    <x v="1"/>
    <x v="2"/>
    <s v="Mobile"/>
    <s v="Email"/>
    <s v="Free"/>
    <n v="1"/>
    <n v="1"/>
    <n v="1"/>
    <n v="0"/>
    <n v="0"/>
    <n v="0"/>
    <n v="0"/>
    <n v="0"/>
    <n v="80.7"/>
  </r>
  <r>
    <x v="1005"/>
    <d v="2025-04-16T00:00:00"/>
    <x v="1"/>
    <x v="3"/>
    <s v="Desktop"/>
    <s v="Referral"/>
    <s v="Premium"/>
    <n v="1"/>
    <n v="0"/>
    <n v="0"/>
    <n v="0"/>
    <n v="0"/>
    <n v="0"/>
    <n v="0"/>
    <n v="0"/>
    <n v="51.9"/>
  </r>
  <r>
    <x v="1006"/>
    <d v="2025-04-30T00:00:00"/>
    <x v="1"/>
    <x v="0"/>
    <s v="Mobile"/>
    <s v="Paid Search"/>
    <s v="Premium"/>
    <n v="1"/>
    <n v="0"/>
    <n v="0"/>
    <n v="0"/>
    <n v="0"/>
    <n v="0"/>
    <n v="0"/>
    <n v="0"/>
    <n v="68.900000000000006"/>
  </r>
  <r>
    <x v="1007"/>
    <d v="2025-02-18T00:00:00"/>
    <x v="1"/>
    <x v="1"/>
    <s v="Desktop"/>
    <s v="Organic"/>
    <s v="Free"/>
    <n v="1"/>
    <n v="0"/>
    <n v="0"/>
    <n v="0"/>
    <n v="0"/>
    <n v="0"/>
    <n v="0"/>
    <n v="0"/>
    <n v="66"/>
  </r>
  <r>
    <x v="1008"/>
    <d v="2025-05-22T00:00:00"/>
    <x v="1"/>
    <x v="1"/>
    <s v="Desktop"/>
    <s v="Referral"/>
    <s v="Basic"/>
    <n v="0"/>
    <n v="0"/>
    <n v="0"/>
    <n v="0"/>
    <n v="0"/>
    <n v="0"/>
    <n v="0"/>
    <n v="0"/>
    <n v="63.1"/>
  </r>
  <r>
    <x v="1009"/>
    <d v="2025-05-21T00:00:00"/>
    <x v="1"/>
    <x v="3"/>
    <s v="Desktop"/>
    <s v="Organic"/>
    <s v="Free"/>
    <n v="0"/>
    <n v="0"/>
    <n v="0"/>
    <n v="0"/>
    <n v="0"/>
    <n v="0"/>
    <n v="0"/>
    <n v="0"/>
    <n v="56"/>
  </r>
  <r>
    <x v="1010"/>
    <d v="2025-04-10T00:00:00"/>
    <x v="1"/>
    <x v="2"/>
    <s v="Desktop"/>
    <s v="Organic"/>
    <s v="Free"/>
    <n v="1"/>
    <n v="0"/>
    <n v="0"/>
    <n v="0"/>
    <n v="0"/>
    <n v="1"/>
    <n v="0"/>
    <n v="0"/>
    <n v="65.7"/>
  </r>
  <r>
    <x v="1011"/>
    <d v="2025-01-07T00:00:00"/>
    <x v="1"/>
    <x v="0"/>
    <s v="Desktop"/>
    <s v="Organic"/>
    <s v="Premium"/>
    <n v="1"/>
    <n v="1"/>
    <n v="1"/>
    <n v="1"/>
    <n v="1938.31"/>
    <n v="1"/>
    <n v="0"/>
    <n v="9"/>
    <n v="60.9"/>
  </r>
  <r>
    <x v="1012"/>
    <d v="2025-02-03T00:00:00"/>
    <x v="1"/>
    <x v="3"/>
    <s v="Desktop"/>
    <s v="Social"/>
    <s v="Free"/>
    <n v="0"/>
    <n v="0"/>
    <n v="0"/>
    <n v="0"/>
    <n v="0"/>
    <n v="0"/>
    <n v="0"/>
    <n v="0"/>
    <n v="45.5"/>
  </r>
  <r>
    <x v="1013"/>
    <d v="2025-05-18T00:00:00"/>
    <x v="1"/>
    <x v="0"/>
    <s v="Mobile"/>
    <s v="Paid Search"/>
    <s v="Free"/>
    <n v="1"/>
    <n v="0"/>
    <n v="0"/>
    <n v="0"/>
    <n v="0"/>
    <n v="0"/>
    <n v="0"/>
    <n v="0"/>
    <n v="50"/>
  </r>
  <r>
    <x v="1014"/>
    <d v="2025-01-31T00:00:00"/>
    <x v="1"/>
    <x v="0"/>
    <s v="Mobile"/>
    <s v="Referral"/>
    <s v="Free"/>
    <n v="1"/>
    <n v="0"/>
    <n v="0"/>
    <n v="0"/>
    <n v="0"/>
    <n v="0"/>
    <n v="0"/>
    <n v="0"/>
    <n v="72.099999999999994"/>
  </r>
  <r>
    <x v="1015"/>
    <d v="2025-01-16T00:00:00"/>
    <x v="1"/>
    <x v="3"/>
    <s v="Desktop"/>
    <s v="Organic"/>
    <s v="Basic"/>
    <n v="1"/>
    <n v="0"/>
    <n v="0"/>
    <n v="0"/>
    <n v="0"/>
    <n v="0"/>
    <n v="0"/>
    <n v="0"/>
    <n v="76.3"/>
  </r>
  <r>
    <x v="1016"/>
    <d v="2025-05-14T00:00:00"/>
    <x v="1"/>
    <x v="2"/>
    <s v="Mobile"/>
    <s v="Paid Search"/>
    <s v="Basic"/>
    <n v="1"/>
    <n v="1"/>
    <n v="0"/>
    <n v="0"/>
    <n v="0"/>
    <n v="1"/>
    <n v="0"/>
    <n v="0"/>
    <n v="54.8"/>
  </r>
  <r>
    <x v="1017"/>
    <d v="2025-04-01T00:00:00"/>
    <x v="1"/>
    <x v="3"/>
    <s v="Mobile"/>
    <s v="Unknown"/>
    <s v="Basic"/>
    <n v="1"/>
    <n v="0"/>
    <n v="0"/>
    <n v="0"/>
    <n v="0"/>
    <n v="0"/>
    <n v="0"/>
    <n v="0"/>
    <n v="63.6"/>
  </r>
  <r>
    <x v="1018"/>
    <d v="2025-04-23T00:00:00"/>
    <x v="1"/>
    <x v="3"/>
    <s v="Mobile"/>
    <s v="Organic"/>
    <s v="Free"/>
    <n v="1"/>
    <n v="0"/>
    <n v="0"/>
    <n v="0"/>
    <n v="0"/>
    <n v="0"/>
    <n v="0"/>
    <n v="0"/>
    <n v="68.8"/>
  </r>
  <r>
    <x v="1019"/>
    <d v="2025-03-02T00:00:00"/>
    <x v="1"/>
    <x v="3"/>
    <s v="Desktop"/>
    <s v="Paid Search"/>
    <s v="Basic"/>
    <n v="1"/>
    <n v="0"/>
    <n v="0"/>
    <n v="0"/>
    <n v="0"/>
    <n v="0"/>
    <n v="0"/>
    <n v="0"/>
    <n v="63.2"/>
  </r>
  <r>
    <x v="1020"/>
    <d v="2025-01-02T00:00:00"/>
    <x v="1"/>
    <x v="2"/>
    <s v="Mobile"/>
    <s v="Paid Search"/>
    <s v="Basic"/>
    <n v="0"/>
    <n v="0"/>
    <n v="0"/>
    <n v="0"/>
    <n v="0"/>
    <n v="0"/>
    <n v="0"/>
    <n v="0"/>
    <n v="45"/>
  </r>
  <r>
    <x v="1021"/>
    <d v="2025-05-04T00:00:00"/>
    <x v="1"/>
    <x v="3"/>
    <s v="Mobile"/>
    <s v="Organic"/>
    <s v="Free"/>
    <n v="1"/>
    <n v="0"/>
    <n v="0"/>
    <n v="0"/>
    <n v="0"/>
    <n v="0"/>
    <n v="0"/>
    <n v="0"/>
    <n v="77.400000000000006"/>
  </r>
  <r>
    <x v="1022"/>
    <d v="2025-01-16T00:00:00"/>
    <x v="1"/>
    <x v="2"/>
    <s v="Desktop"/>
    <s v="Paid Search"/>
    <s v="Basic"/>
    <n v="0"/>
    <n v="0"/>
    <n v="0"/>
    <n v="0"/>
    <n v="0"/>
    <n v="0"/>
    <n v="0"/>
    <n v="0"/>
    <n v="53.1"/>
  </r>
  <r>
    <x v="1023"/>
    <d v="2025-02-11T00:00:00"/>
    <x v="1"/>
    <x v="1"/>
    <s v="Tablet"/>
    <s v="Paid Search"/>
    <s v="Premium"/>
    <n v="0"/>
    <n v="0"/>
    <n v="0"/>
    <n v="0"/>
    <n v="0"/>
    <n v="0"/>
    <n v="0"/>
    <n v="0"/>
    <n v="74"/>
  </r>
  <r>
    <x v="1024"/>
    <d v="2025-04-03T00:00:00"/>
    <x v="1"/>
    <x v="0"/>
    <s v="Mobile"/>
    <s v="Social"/>
    <s v="Premium"/>
    <n v="1"/>
    <n v="1"/>
    <n v="1"/>
    <n v="1"/>
    <n v="1906.23"/>
    <n v="0"/>
    <n v="0"/>
    <n v="4"/>
    <n v="84.6"/>
  </r>
  <r>
    <x v="1025"/>
    <d v="2025-03-26T00:00:00"/>
    <x v="1"/>
    <x v="2"/>
    <s v="Mobile"/>
    <s v="Referral"/>
    <s v="Free"/>
    <n v="1"/>
    <n v="0"/>
    <n v="0"/>
    <n v="0"/>
    <n v="0"/>
    <n v="0"/>
    <n v="0"/>
    <n v="0"/>
    <n v="57"/>
  </r>
  <r>
    <x v="1026"/>
    <d v="2025-05-16T00:00:00"/>
    <x v="1"/>
    <x v="3"/>
    <s v="Mobile"/>
    <s v="Email"/>
    <s v="Premium"/>
    <n v="0"/>
    <n v="0"/>
    <n v="0"/>
    <n v="0"/>
    <n v="0"/>
    <n v="0"/>
    <n v="0"/>
    <n v="0"/>
    <n v="46.3"/>
  </r>
  <r>
    <x v="1027"/>
    <d v="2025-04-20T00:00:00"/>
    <x v="1"/>
    <x v="1"/>
    <s v="Mobile"/>
    <s v="Social"/>
    <s v="Free"/>
    <n v="0"/>
    <n v="0"/>
    <n v="0"/>
    <n v="0"/>
    <n v="0"/>
    <n v="1"/>
    <n v="0"/>
    <n v="0"/>
    <n v="64.400000000000006"/>
  </r>
  <r>
    <x v="1028"/>
    <d v="2025-04-15T00:00:00"/>
    <x v="1"/>
    <x v="1"/>
    <s v="Mobile"/>
    <s v="Paid Search"/>
    <s v="Free"/>
    <n v="1"/>
    <n v="0"/>
    <n v="0"/>
    <n v="0"/>
    <n v="0"/>
    <n v="2"/>
    <n v="0"/>
    <n v="0"/>
    <n v="61.9"/>
  </r>
  <r>
    <x v="1029"/>
    <d v="2025-01-24T00:00:00"/>
    <x v="1"/>
    <x v="0"/>
    <s v="Mobile"/>
    <s v="Organic"/>
    <s v="Premium"/>
    <n v="1"/>
    <n v="1"/>
    <n v="1"/>
    <n v="0"/>
    <n v="0"/>
    <n v="0"/>
    <n v="0"/>
    <n v="0"/>
    <n v="93.7"/>
  </r>
  <r>
    <x v="1030"/>
    <d v="2025-04-11T00:00:00"/>
    <x v="1"/>
    <x v="3"/>
    <s v="Mobile"/>
    <s v="Referral"/>
    <s v="Basic"/>
    <n v="0"/>
    <n v="0"/>
    <n v="0"/>
    <n v="0"/>
    <n v="0"/>
    <n v="0"/>
    <n v="0"/>
    <n v="0"/>
    <n v="61.6"/>
  </r>
  <r>
    <x v="1031"/>
    <d v="2025-05-19T00:00:00"/>
    <x v="1"/>
    <x v="0"/>
    <s v="Mobile"/>
    <s v="Paid Search"/>
    <s v="Free"/>
    <n v="1"/>
    <n v="0"/>
    <n v="0"/>
    <n v="0"/>
    <n v="0"/>
    <n v="0"/>
    <n v="0"/>
    <n v="0"/>
    <n v="72.2"/>
  </r>
  <r>
    <x v="1032"/>
    <d v="2025-01-14T00:00:00"/>
    <x v="1"/>
    <x v="0"/>
    <s v="Mobile"/>
    <s v="Organic"/>
    <s v="Basic"/>
    <n v="0"/>
    <n v="0"/>
    <n v="0"/>
    <n v="0"/>
    <n v="0"/>
    <n v="0"/>
    <n v="0"/>
    <n v="0"/>
    <n v="69.5"/>
  </r>
  <r>
    <x v="1033"/>
    <d v="2025-02-28T00:00:00"/>
    <x v="1"/>
    <x v="2"/>
    <s v="Desktop"/>
    <s v="Organic"/>
    <s v="Basic"/>
    <n v="0"/>
    <n v="0"/>
    <n v="0"/>
    <n v="0"/>
    <n v="0"/>
    <n v="0"/>
    <n v="0"/>
    <n v="0"/>
    <n v="59.7"/>
  </r>
  <r>
    <x v="1034"/>
    <d v="2025-05-18T00:00:00"/>
    <x v="1"/>
    <x v="2"/>
    <s v="Tablet"/>
    <s v="Paid Search"/>
    <s v="Basic"/>
    <n v="1"/>
    <n v="0"/>
    <n v="0"/>
    <n v="0"/>
    <n v="0"/>
    <n v="0"/>
    <n v="0"/>
    <n v="0"/>
    <n v="73.900000000000006"/>
  </r>
  <r>
    <x v="1035"/>
    <d v="2025-01-04T00:00:00"/>
    <x v="1"/>
    <x v="0"/>
    <s v="Mobile"/>
    <s v="Social"/>
    <s v="Free"/>
    <n v="0"/>
    <n v="0"/>
    <n v="0"/>
    <n v="0"/>
    <n v="0"/>
    <n v="0"/>
    <n v="0"/>
    <n v="0"/>
    <n v="41.5"/>
  </r>
  <r>
    <x v="1036"/>
    <d v="2025-01-16T00:00:00"/>
    <x v="1"/>
    <x v="1"/>
    <s v="Mobile"/>
    <s v="Social"/>
    <s v="Premium"/>
    <n v="1"/>
    <n v="0"/>
    <n v="0"/>
    <n v="0"/>
    <n v="0"/>
    <n v="0"/>
    <n v="0"/>
    <n v="0"/>
    <n v="82.8"/>
  </r>
  <r>
    <x v="1037"/>
    <d v="2025-03-14T00:00:00"/>
    <x v="1"/>
    <x v="1"/>
    <s v="Mobile"/>
    <s v="Social"/>
    <s v="Premium"/>
    <n v="1"/>
    <n v="0"/>
    <n v="0"/>
    <n v="0"/>
    <n v="0"/>
    <n v="3"/>
    <n v="0"/>
    <n v="0"/>
    <n v="70.2"/>
  </r>
  <r>
    <x v="1038"/>
    <d v="2025-01-23T00:00:00"/>
    <x v="1"/>
    <x v="2"/>
    <s v="Mobile"/>
    <s v="Paid Search"/>
    <s v="Basic"/>
    <n v="1"/>
    <n v="0"/>
    <n v="0"/>
    <n v="0"/>
    <n v="0"/>
    <n v="1"/>
    <n v="0"/>
    <n v="0"/>
    <n v="69.400000000000006"/>
  </r>
  <r>
    <x v="1039"/>
    <d v="2025-02-03T00:00:00"/>
    <x v="1"/>
    <x v="0"/>
    <s v="Desktop"/>
    <s v="Organic"/>
    <s v="Basic"/>
    <n v="1"/>
    <n v="0"/>
    <n v="0"/>
    <n v="0"/>
    <n v="0"/>
    <n v="0"/>
    <n v="0"/>
    <n v="0"/>
    <n v="60.4"/>
  </r>
  <r>
    <x v="1040"/>
    <d v="2025-05-16T00:00:00"/>
    <x v="1"/>
    <x v="2"/>
    <s v="Mobile"/>
    <s v="Referral"/>
    <s v="Free"/>
    <n v="1"/>
    <n v="0"/>
    <n v="0"/>
    <n v="0"/>
    <n v="0"/>
    <n v="0"/>
    <n v="0"/>
    <n v="0"/>
    <n v="45.7"/>
  </r>
  <r>
    <x v="1041"/>
    <d v="2025-01-11T00:00:00"/>
    <x v="1"/>
    <x v="1"/>
    <s v="Mobile"/>
    <s v="Organic"/>
    <s v="Basic"/>
    <n v="0"/>
    <n v="0"/>
    <n v="0"/>
    <n v="0"/>
    <n v="0"/>
    <n v="1"/>
    <n v="0"/>
    <n v="0"/>
    <n v="42.2"/>
  </r>
  <r>
    <x v="1042"/>
    <d v="2025-05-25T00:00:00"/>
    <x v="1"/>
    <x v="0"/>
    <s v="Desktop"/>
    <s v="Organic"/>
    <s v="Free"/>
    <n v="0"/>
    <n v="0"/>
    <n v="0"/>
    <n v="0"/>
    <n v="0"/>
    <n v="2"/>
    <n v="0"/>
    <n v="0"/>
    <n v="61.9"/>
  </r>
  <r>
    <x v="1043"/>
    <d v="2025-05-08T00:00:00"/>
    <x v="1"/>
    <x v="2"/>
    <s v="Mobile"/>
    <s v="Paid Search"/>
    <s v="Premium"/>
    <n v="0"/>
    <n v="0"/>
    <n v="0"/>
    <n v="0"/>
    <n v="0"/>
    <n v="0"/>
    <n v="0"/>
    <n v="0"/>
    <n v="44.9"/>
  </r>
  <r>
    <x v="1044"/>
    <d v="2025-02-26T00:00:00"/>
    <x v="1"/>
    <x v="2"/>
    <s v="Desktop"/>
    <s v="Unknown"/>
    <s v="Basic"/>
    <n v="1"/>
    <n v="0"/>
    <n v="0"/>
    <n v="0"/>
    <n v="0"/>
    <n v="0"/>
    <n v="0"/>
    <n v="0"/>
    <n v="68"/>
  </r>
  <r>
    <x v="1045"/>
    <d v="2025-03-30T00:00:00"/>
    <x v="1"/>
    <x v="0"/>
    <s v="Mobile"/>
    <s v="Paid Search"/>
    <s v="Free"/>
    <n v="1"/>
    <n v="0"/>
    <n v="0"/>
    <n v="0"/>
    <n v="0"/>
    <n v="0"/>
    <n v="0"/>
    <n v="0"/>
    <n v="61"/>
  </r>
  <r>
    <x v="1046"/>
    <d v="2025-04-13T00:00:00"/>
    <x v="1"/>
    <x v="1"/>
    <s v="Mobile"/>
    <s v="Organic"/>
    <s v="Basic"/>
    <n v="1"/>
    <n v="0"/>
    <n v="0"/>
    <n v="0"/>
    <n v="0"/>
    <n v="0"/>
    <n v="0"/>
    <n v="0"/>
    <n v="55"/>
  </r>
  <r>
    <x v="1047"/>
    <d v="2025-02-20T00:00:00"/>
    <x v="1"/>
    <x v="2"/>
    <s v="Unknown"/>
    <s v="Paid Search"/>
    <s v="Basic"/>
    <n v="1"/>
    <n v="0"/>
    <n v="0"/>
    <n v="0"/>
    <n v="0"/>
    <n v="0"/>
    <n v="0"/>
    <n v="0"/>
    <n v="63.1"/>
  </r>
  <r>
    <x v="1048"/>
    <d v="2025-04-19T00:00:00"/>
    <x v="1"/>
    <x v="1"/>
    <s v="Desktop"/>
    <s v="Social"/>
    <s v="Free"/>
    <n v="1"/>
    <n v="0"/>
    <n v="0"/>
    <n v="0"/>
    <n v="0"/>
    <n v="0"/>
    <n v="0"/>
    <n v="0"/>
    <n v="75.8"/>
  </r>
  <r>
    <x v="1049"/>
    <d v="2025-03-22T00:00:00"/>
    <x v="1"/>
    <x v="3"/>
    <s v="Mobile"/>
    <s v="Paid Search"/>
    <s v="Free"/>
    <n v="1"/>
    <n v="1"/>
    <n v="0"/>
    <n v="0"/>
    <n v="0"/>
    <n v="1"/>
    <n v="0"/>
    <n v="0"/>
    <n v="43.8"/>
  </r>
  <r>
    <x v="1050"/>
    <d v="2025-02-28T00:00:00"/>
    <x v="1"/>
    <x v="0"/>
    <s v="Mobile"/>
    <s v="Email"/>
    <s v="Basic"/>
    <n v="1"/>
    <n v="1"/>
    <n v="0"/>
    <n v="0"/>
    <n v="0"/>
    <n v="0"/>
    <n v="0"/>
    <n v="0"/>
    <n v="46.8"/>
  </r>
  <r>
    <x v="1051"/>
    <d v="2025-05-24T00:00:00"/>
    <x v="1"/>
    <x v="2"/>
    <s v="Mobile"/>
    <s v="Social"/>
    <s v="Free"/>
    <n v="1"/>
    <n v="1"/>
    <n v="1"/>
    <n v="0"/>
    <n v="0"/>
    <n v="0"/>
    <n v="0"/>
    <n v="0"/>
    <n v="97.4"/>
  </r>
  <r>
    <x v="1052"/>
    <d v="2025-02-03T00:00:00"/>
    <x v="1"/>
    <x v="0"/>
    <s v="Desktop"/>
    <s v="Email"/>
    <s v="Free"/>
    <n v="1"/>
    <n v="1"/>
    <n v="1"/>
    <n v="1"/>
    <n v="268.95999999999998"/>
    <n v="0"/>
    <n v="0"/>
    <n v="14"/>
    <n v="81"/>
  </r>
  <r>
    <x v="1053"/>
    <d v="2025-01-27T00:00:00"/>
    <x v="1"/>
    <x v="3"/>
    <s v="Mobile"/>
    <s v="Organic"/>
    <s v="Free"/>
    <n v="1"/>
    <n v="0"/>
    <n v="0"/>
    <n v="0"/>
    <n v="0"/>
    <n v="1"/>
    <n v="0"/>
    <n v="0"/>
    <n v="58.9"/>
  </r>
  <r>
    <x v="1054"/>
    <d v="2025-04-17T00:00:00"/>
    <x v="1"/>
    <x v="2"/>
    <s v="Mobile"/>
    <s v="Organic"/>
    <s v="Free"/>
    <n v="1"/>
    <n v="0"/>
    <n v="0"/>
    <n v="0"/>
    <n v="0"/>
    <n v="0"/>
    <n v="0"/>
    <n v="0"/>
    <n v="51.9"/>
  </r>
  <r>
    <x v="1055"/>
    <d v="2025-02-06T00:00:00"/>
    <x v="1"/>
    <x v="1"/>
    <s v="Mobile"/>
    <s v="Social"/>
    <s v="Free"/>
    <n v="1"/>
    <n v="1"/>
    <n v="0"/>
    <n v="0"/>
    <n v="0"/>
    <n v="0"/>
    <n v="0"/>
    <n v="0"/>
    <n v="61.7"/>
  </r>
  <r>
    <x v="1056"/>
    <d v="2025-04-20T00:00:00"/>
    <x v="1"/>
    <x v="3"/>
    <s v="Mobile"/>
    <s v="Paid Search"/>
    <s v="Free"/>
    <n v="1"/>
    <n v="0"/>
    <n v="0"/>
    <n v="0"/>
    <n v="0"/>
    <n v="0"/>
    <n v="0"/>
    <n v="0"/>
    <n v="44.7"/>
  </r>
  <r>
    <x v="1057"/>
    <d v="2025-05-06T00:00:00"/>
    <x v="1"/>
    <x v="0"/>
    <s v="Mobile"/>
    <s v="Paid Search"/>
    <s v="Basic"/>
    <n v="0"/>
    <n v="0"/>
    <n v="0"/>
    <n v="0"/>
    <n v="0"/>
    <n v="0"/>
    <n v="0"/>
    <n v="0"/>
    <n v="63.2"/>
  </r>
  <r>
    <x v="1058"/>
    <d v="2025-05-16T00:00:00"/>
    <x v="1"/>
    <x v="3"/>
    <s v="Mobile"/>
    <s v="Organic"/>
    <s v="Free"/>
    <n v="1"/>
    <n v="0"/>
    <n v="0"/>
    <n v="0"/>
    <n v="0"/>
    <n v="0"/>
    <n v="0"/>
    <n v="0"/>
    <n v="70.3"/>
  </r>
  <r>
    <x v="1059"/>
    <d v="2025-03-02T00:00:00"/>
    <x v="1"/>
    <x v="3"/>
    <s v="Mobile"/>
    <s v="Paid Search"/>
    <s v="Premium"/>
    <n v="1"/>
    <n v="1"/>
    <n v="0"/>
    <n v="0"/>
    <n v="0"/>
    <n v="1"/>
    <n v="0"/>
    <n v="0"/>
    <n v="83.1"/>
  </r>
  <r>
    <x v="1060"/>
    <d v="2025-04-09T00:00:00"/>
    <x v="1"/>
    <x v="1"/>
    <s v="Mobile"/>
    <s v="Social"/>
    <s v="Free"/>
    <n v="0"/>
    <n v="0"/>
    <n v="0"/>
    <n v="0"/>
    <n v="0"/>
    <n v="0"/>
    <n v="0"/>
    <n v="0"/>
    <n v="50.3"/>
  </r>
  <r>
    <x v="1061"/>
    <d v="2025-01-26T00:00:00"/>
    <x v="1"/>
    <x v="2"/>
    <s v="Mobile"/>
    <s v="Paid Search"/>
    <s v="Free"/>
    <n v="1"/>
    <n v="1"/>
    <n v="1"/>
    <n v="1"/>
    <n v="437.09"/>
    <n v="2"/>
    <n v="1"/>
    <n v="1"/>
    <n v="58.2"/>
  </r>
  <r>
    <x v="1062"/>
    <d v="2025-02-25T00:00:00"/>
    <x v="1"/>
    <x v="3"/>
    <s v="Mobile"/>
    <s v="Paid Search"/>
    <s v="Basic"/>
    <n v="1"/>
    <n v="1"/>
    <n v="1"/>
    <n v="0"/>
    <n v="0"/>
    <n v="0"/>
    <n v="0"/>
    <n v="0"/>
    <n v="53.2"/>
  </r>
  <r>
    <x v="1063"/>
    <d v="2025-01-07T00:00:00"/>
    <x v="1"/>
    <x v="2"/>
    <s v="Mobile"/>
    <s v="Organic"/>
    <s v="Premium"/>
    <n v="0"/>
    <n v="0"/>
    <n v="0"/>
    <n v="0"/>
    <n v="0"/>
    <n v="0"/>
    <n v="0"/>
    <n v="0"/>
    <n v="36.4"/>
  </r>
  <r>
    <x v="1064"/>
    <d v="2025-03-08T00:00:00"/>
    <x v="1"/>
    <x v="3"/>
    <s v="Mobile"/>
    <s v="Social"/>
    <s v="Basic"/>
    <n v="1"/>
    <n v="1"/>
    <n v="1"/>
    <n v="0"/>
    <n v="0"/>
    <n v="0"/>
    <n v="0"/>
    <n v="0"/>
    <n v="72.7"/>
  </r>
  <r>
    <x v="1065"/>
    <d v="2025-05-22T00:00:00"/>
    <x v="1"/>
    <x v="2"/>
    <s v="Mobile"/>
    <s v="Referral"/>
    <s v="Free"/>
    <n v="1"/>
    <n v="0"/>
    <n v="0"/>
    <n v="0"/>
    <n v="0"/>
    <n v="1"/>
    <n v="0"/>
    <n v="0"/>
    <n v="86.7"/>
  </r>
  <r>
    <x v="1066"/>
    <d v="2025-04-18T00:00:00"/>
    <x v="1"/>
    <x v="2"/>
    <s v="Mobile"/>
    <s v="Paid Search"/>
    <s v="Premium"/>
    <n v="1"/>
    <n v="0"/>
    <n v="0"/>
    <n v="0"/>
    <n v="0"/>
    <n v="0"/>
    <n v="0"/>
    <n v="0"/>
    <n v="48.2"/>
  </r>
  <r>
    <x v="1067"/>
    <d v="2025-02-24T00:00:00"/>
    <x v="1"/>
    <x v="1"/>
    <s v="Mobile"/>
    <s v="Referral"/>
    <s v="Basic"/>
    <n v="0"/>
    <n v="0"/>
    <n v="0"/>
    <n v="0"/>
    <n v="0"/>
    <n v="1"/>
    <n v="0"/>
    <n v="0"/>
    <n v="57.6"/>
  </r>
  <r>
    <x v="1068"/>
    <d v="2025-02-11T00:00:00"/>
    <x v="1"/>
    <x v="0"/>
    <s v="Mobile"/>
    <s v="Organic"/>
    <s v="Free"/>
    <n v="1"/>
    <n v="1"/>
    <n v="1"/>
    <n v="0"/>
    <n v="0"/>
    <n v="0"/>
    <n v="0"/>
    <n v="0"/>
    <n v="75.7"/>
  </r>
  <r>
    <x v="1069"/>
    <d v="2025-03-11T00:00:00"/>
    <x v="1"/>
    <x v="1"/>
    <s v="Desktop"/>
    <s v="Paid Search"/>
    <s v="Free"/>
    <n v="1"/>
    <n v="0"/>
    <n v="0"/>
    <n v="0"/>
    <n v="0"/>
    <n v="2"/>
    <n v="0"/>
    <n v="0"/>
    <n v="48.6"/>
  </r>
  <r>
    <x v="1070"/>
    <d v="2025-04-11T00:00:00"/>
    <x v="1"/>
    <x v="2"/>
    <s v="Tablet"/>
    <s v="Referral"/>
    <s v="Free"/>
    <n v="1"/>
    <n v="1"/>
    <n v="1"/>
    <n v="0"/>
    <n v="0"/>
    <n v="0"/>
    <n v="0"/>
    <n v="0"/>
    <n v="72"/>
  </r>
  <r>
    <x v="1071"/>
    <d v="2025-03-11T00:00:00"/>
    <x v="1"/>
    <x v="0"/>
    <s v="Mobile"/>
    <s v="Organic"/>
    <s v="Free"/>
    <n v="0"/>
    <n v="0"/>
    <n v="0"/>
    <n v="0"/>
    <n v="0"/>
    <n v="0"/>
    <n v="0"/>
    <n v="0"/>
    <n v="72.2"/>
  </r>
  <r>
    <x v="1072"/>
    <d v="2025-05-22T00:00:00"/>
    <x v="1"/>
    <x v="2"/>
    <s v="Mobile"/>
    <s v="Referral"/>
    <s v="Free"/>
    <n v="1"/>
    <n v="0"/>
    <n v="0"/>
    <n v="0"/>
    <n v="0"/>
    <n v="1"/>
    <n v="0"/>
    <n v="0"/>
    <n v="0"/>
  </r>
  <r>
    <x v="1073"/>
    <d v="2025-02-22T00:00:00"/>
    <x v="1"/>
    <x v="3"/>
    <s v="Desktop"/>
    <s v="Organic"/>
    <s v="Free"/>
    <n v="1"/>
    <n v="1"/>
    <n v="1"/>
    <n v="1"/>
    <n v="331.53"/>
    <n v="2"/>
    <n v="0"/>
    <n v="4"/>
    <n v="56.8"/>
  </r>
  <r>
    <x v="1074"/>
    <d v="2025-01-13T00:00:00"/>
    <x v="1"/>
    <x v="2"/>
    <s v="Mobile"/>
    <s v="Paid Search"/>
    <s v="Basic"/>
    <n v="1"/>
    <n v="0"/>
    <n v="0"/>
    <n v="0"/>
    <n v="0"/>
    <n v="0"/>
    <n v="0"/>
    <n v="0"/>
    <n v="62.5"/>
  </r>
  <r>
    <x v="1075"/>
    <d v="2025-05-19T00:00:00"/>
    <x v="1"/>
    <x v="3"/>
    <s v="Mobile"/>
    <s v="Organic"/>
    <s v="Free"/>
    <n v="1"/>
    <n v="0"/>
    <n v="0"/>
    <n v="0"/>
    <n v="0"/>
    <n v="0"/>
    <n v="0"/>
    <n v="0"/>
    <n v="63.4"/>
  </r>
  <r>
    <x v="1076"/>
    <d v="2025-03-08T00:00:00"/>
    <x v="1"/>
    <x v="0"/>
    <s v="Tablet"/>
    <s v="Organic"/>
    <s v="Basic"/>
    <n v="1"/>
    <n v="1"/>
    <n v="1"/>
    <n v="1"/>
    <n v="774.78"/>
    <n v="0"/>
    <n v="0"/>
    <n v="3"/>
    <n v="46.8"/>
  </r>
  <r>
    <x v="1077"/>
    <d v="2025-04-20T00:00:00"/>
    <x v="1"/>
    <x v="3"/>
    <s v="Mobile"/>
    <s v="Organic"/>
    <s v="Free"/>
    <n v="1"/>
    <n v="1"/>
    <n v="1"/>
    <n v="1"/>
    <n v="422.02"/>
    <n v="0"/>
    <n v="0"/>
    <n v="8"/>
    <n v="86.5"/>
  </r>
  <r>
    <x v="1078"/>
    <d v="2025-05-08T00:00:00"/>
    <x v="1"/>
    <x v="1"/>
    <s v="Mobile"/>
    <s v="Email"/>
    <s v="Basic"/>
    <n v="0"/>
    <n v="0"/>
    <n v="0"/>
    <n v="0"/>
    <n v="0"/>
    <n v="1"/>
    <n v="0"/>
    <n v="0"/>
    <n v="75.099999999999994"/>
  </r>
  <r>
    <x v="1079"/>
    <d v="2025-05-10T00:00:00"/>
    <x v="1"/>
    <x v="3"/>
    <s v="Mobile"/>
    <s v="Organic"/>
    <s v="Basic"/>
    <n v="1"/>
    <n v="0"/>
    <n v="0"/>
    <n v="0"/>
    <n v="0"/>
    <n v="0"/>
    <n v="0"/>
    <n v="0"/>
    <n v="64.5"/>
  </r>
  <r>
    <x v="1080"/>
    <d v="2025-03-28T00:00:00"/>
    <x v="1"/>
    <x v="2"/>
    <s v="Mobile"/>
    <s v="Organic"/>
    <s v="Free"/>
    <n v="1"/>
    <n v="0"/>
    <n v="0"/>
    <n v="0"/>
    <n v="0"/>
    <n v="0"/>
    <n v="0"/>
    <n v="0"/>
    <n v="54.2"/>
  </r>
  <r>
    <x v="1081"/>
    <d v="2025-04-30T00:00:00"/>
    <x v="1"/>
    <x v="2"/>
    <s v="Mobile"/>
    <s v="Paid Search"/>
    <s v="Premium"/>
    <n v="1"/>
    <n v="1"/>
    <n v="1"/>
    <n v="0"/>
    <n v="0"/>
    <n v="0"/>
    <n v="0"/>
    <n v="0"/>
    <n v="84.1"/>
  </r>
  <r>
    <x v="1082"/>
    <d v="2025-02-08T00:00:00"/>
    <x v="1"/>
    <x v="0"/>
    <s v="Mobile"/>
    <s v="Organic"/>
    <s v="Basic"/>
    <n v="0"/>
    <n v="0"/>
    <n v="0"/>
    <n v="0"/>
    <n v="0"/>
    <n v="1"/>
    <n v="0"/>
    <n v="0"/>
    <n v="49.1"/>
  </r>
  <r>
    <x v="1083"/>
    <d v="2025-03-07T00:00:00"/>
    <x v="1"/>
    <x v="3"/>
    <s v="Mobile"/>
    <s v="Referral"/>
    <s v="Premium"/>
    <n v="0"/>
    <n v="0"/>
    <n v="0"/>
    <n v="0"/>
    <n v="0"/>
    <n v="0"/>
    <n v="0"/>
    <n v="0"/>
    <n v="92.7"/>
  </r>
  <r>
    <x v="1084"/>
    <d v="2025-05-21T00:00:00"/>
    <x v="1"/>
    <x v="3"/>
    <s v="Mobile"/>
    <s v="Social"/>
    <s v="Basic"/>
    <n v="1"/>
    <n v="1"/>
    <n v="1"/>
    <n v="0"/>
    <n v="0"/>
    <n v="1"/>
    <n v="0"/>
    <n v="0"/>
    <n v="58.7"/>
  </r>
  <r>
    <x v="1085"/>
    <d v="2025-04-12T00:00:00"/>
    <x v="1"/>
    <x v="3"/>
    <s v="Mobile"/>
    <s v="Social"/>
    <s v="Free"/>
    <n v="1"/>
    <n v="1"/>
    <n v="1"/>
    <n v="0"/>
    <n v="0"/>
    <n v="0"/>
    <n v="0"/>
    <n v="0"/>
    <n v="59.3"/>
  </r>
  <r>
    <x v="1086"/>
    <d v="2025-02-02T00:00:00"/>
    <x v="1"/>
    <x v="3"/>
    <s v="Mobile"/>
    <s v="Paid Search"/>
    <s v="Free"/>
    <n v="1"/>
    <n v="0"/>
    <n v="0"/>
    <n v="0"/>
    <n v="0"/>
    <n v="0"/>
    <n v="0"/>
    <n v="0"/>
    <n v="62"/>
  </r>
  <r>
    <x v="1087"/>
    <d v="2025-04-22T00:00:00"/>
    <x v="1"/>
    <x v="0"/>
    <s v="Tablet"/>
    <s v="Referral"/>
    <s v="Free"/>
    <n v="1"/>
    <n v="1"/>
    <n v="1"/>
    <n v="0"/>
    <n v="0"/>
    <n v="1"/>
    <n v="0"/>
    <n v="0"/>
    <n v="60.3"/>
  </r>
  <r>
    <x v="1088"/>
    <d v="2025-02-08T00:00:00"/>
    <x v="1"/>
    <x v="0"/>
    <s v="Mobile"/>
    <s v="Social"/>
    <s v="Basic"/>
    <n v="1"/>
    <n v="0"/>
    <n v="0"/>
    <n v="0"/>
    <n v="0"/>
    <n v="0"/>
    <n v="0"/>
    <n v="0"/>
    <n v="70.5"/>
  </r>
  <r>
    <x v="1089"/>
    <d v="2025-01-24T00:00:00"/>
    <x v="1"/>
    <x v="3"/>
    <s v="Desktop"/>
    <s v="Email"/>
    <s v="Free"/>
    <n v="1"/>
    <n v="0"/>
    <n v="0"/>
    <n v="0"/>
    <n v="0"/>
    <n v="0"/>
    <n v="0"/>
    <n v="0"/>
    <n v="36.799999999999997"/>
  </r>
  <r>
    <x v="1090"/>
    <d v="2025-05-12T00:00:00"/>
    <x v="1"/>
    <x v="3"/>
    <s v="Mobile"/>
    <s v="Paid Search"/>
    <s v="Basic"/>
    <n v="0"/>
    <n v="0"/>
    <n v="0"/>
    <n v="0"/>
    <n v="0"/>
    <n v="1"/>
    <n v="0"/>
    <n v="0"/>
    <n v="73.2"/>
  </r>
  <r>
    <x v="1091"/>
    <d v="2025-03-30T00:00:00"/>
    <x v="1"/>
    <x v="0"/>
    <s v="Mobile"/>
    <s v="Organic"/>
    <s v="Basic"/>
    <n v="0"/>
    <n v="0"/>
    <n v="0"/>
    <n v="0"/>
    <n v="0"/>
    <n v="0"/>
    <n v="0"/>
    <n v="0"/>
    <n v="70.099999999999994"/>
  </r>
  <r>
    <x v="1092"/>
    <d v="2025-01-02T00:00:00"/>
    <x v="1"/>
    <x v="3"/>
    <s v="Desktop"/>
    <s v="Paid Search"/>
    <s v="Basic"/>
    <n v="1"/>
    <n v="0"/>
    <n v="0"/>
    <n v="0"/>
    <n v="0"/>
    <n v="0"/>
    <n v="0"/>
    <n v="0"/>
    <n v="76.400000000000006"/>
  </r>
  <r>
    <x v="1093"/>
    <d v="2025-03-21T00:00:00"/>
    <x v="1"/>
    <x v="3"/>
    <s v="Tablet"/>
    <s v="Email"/>
    <s v="Basic"/>
    <n v="0"/>
    <n v="0"/>
    <n v="0"/>
    <n v="0"/>
    <n v="0"/>
    <n v="0"/>
    <n v="0"/>
    <n v="0"/>
    <n v="46.4"/>
  </r>
  <r>
    <x v="1094"/>
    <d v="2025-01-25T00:00:00"/>
    <x v="1"/>
    <x v="1"/>
    <s v="Mobile"/>
    <s v="Organic"/>
    <s v="Free"/>
    <n v="1"/>
    <n v="1"/>
    <n v="1"/>
    <n v="0"/>
    <n v="0"/>
    <n v="1"/>
    <n v="0"/>
    <n v="0"/>
    <n v="81.3"/>
  </r>
  <r>
    <x v="1095"/>
    <d v="2025-01-12T00:00:00"/>
    <x v="1"/>
    <x v="3"/>
    <s v="Tablet"/>
    <s v="Social"/>
    <s v="Free"/>
    <n v="1"/>
    <n v="1"/>
    <n v="1"/>
    <n v="0"/>
    <n v="0"/>
    <n v="0"/>
    <n v="0"/>
    <n v="0"/>
    <n v="55.3"/>
  </r>
  <r>
    <x v="1096"/>
    <d v="2025-03-18T00:00:00"/>
    <x v="1"/>
    <x v="2"/>
    <s v="Desktop"/>
    <s v="Referral"/>
    <s v="Free"/>
    <n v="1"/>
    <n v="0"/>
    <n v="0"/>
    <n v="0"/>
    <n v="0"/>
    <n v="0"/>
    <n v="0"/>
    <n v="0"/>
    <n v="44.7"/>
  </r>
  <r>
    <x v="1097"/>
    <d v="2025-03-26T00:00:00"/>
    <x v="1"/>
    <x v="2"/>
    <s v="Mobile"/>
    <s v="Paid Search"/>
    <s v="Basic"/>
    <n v="1"/>
    <n v="0"/>
    <n v="0"/>
    <n v="0"/>
    <n v="0"/>
    <n v="0"/>
    <n v="0"/>
    <n v="0"/>
    <n v="67.2"/>
  </r>
  <r>
    <x v="1098"/>
    <d v="2025-04-19T00:00:00"/>
    <x v="1"/>
    <x v="0"/>
    <s v="Mobile"/>
    <s v="Paid Search"/>
    <s v="Basic"/>
    <n v="1"/>
    <n v="0"/>
    <n v="0"/>
    <n v="0"/>
    <n v="0"/>
    <n v="0"/>
    <n v="0"/>
    <n v="0"/>
    <n v="0"/>
  </r>
  <r>
    <x v="1099"/>
    <d v="2025-04-17T00:00:00"/>
    <x v="1"/>
    <x v="2"/>
    <s v="Mobile"/>
    <s v="Organic"/>
    <s v="Premium"/>
    <n v="1"/>
    <n v="1"/>
    <n v="1"/>
    <n v="0"/>
    <n v="0"/>
    <n v="1"/>
    <n v="0"/>
    <n v="0"/>
    <n v="70.8"/>
  </r>
  <r>
    <x v="1100"/>
    <d v="2025-05-26T00:00:00"/>
    <x v="1"/>
    <x v="3"/>
    <s v="Mobile"/>
    <s v="Paid Search"/>
    <s v="Free"/>
    <n v="1"/>
    <n v="0"/>
    <n v="0"/>
    <n v="0"/>
    <n v="0"/>
    <n v="0"/>
    <n v="0"/>
    <n v="0"/>
    <n v="71.3"/>
  </r>
  <r>
    <x v="1101"/>
    <d v="2025-04-14T00:00:00"/>
    <x v="1"/>
    <x v="0"/>
    <s v="Mobile"/>
    <s v="Social"/>
    <s v="Premium"/>
    <n v="1"/>
    <n v="1"/>
    <n v="1"/>
    <n v="0"/>
    <n v="0"/>
    <n v="0"/>
    <n v="0"/>
    <n v="0"/>
    <n v="69.400000000000006"/>
  </r>
  <r>
    <x v="1102"/>
    <d v="2025-01-23T00:00:00"/>
    <x v="1"/>
    <x v="3"/>
    <s v="Mobile"/>
    <s v="Organic"/>
    <s v="Basic"/>
    <n v="1"/>
    <n v="1"/>
    <n v="0"/>
    <n v="0"/>
    <n v="0"/>
    <n v="0"/>
    <n v="0"/>
    <n v="0"/>
    <n v="58.9"/>
  </r>
  <r>
    <x v="1103"/>
    <d v="2025-01-06T00:00:00"/>
    <x v="1"/>
    <x v="2"/>
    <s v="Mobile"/>
    <s v="Referral"/>
    <s v="Free"/>
    <n v="0"/>
    <n v="0"/>
    <n v="0"/>
    <n v="0"/>
    <n v="0"/>
    <n v="0"/>
    <n v="0"/>
    <n v="0"/>
    <n v="70.7"/>
  </r>
  <r>
    <x v="1104"/>
    <d v="2025-05-31T00:00:00"/>
    <x v="1"/>
    <x v="1"/>
    <s v="Mobile"/>
    <s v="Email"/>
    <s v="Basic"/>
    <n v="1"/>
    <n v="0"/>
    <n v="0"/>
    <n v="0"/>
    <n v="0"/>
    <n v="0"/>
    <n v="0"/>
    <n v="0"/>
    <n v="60.5"/>
  </r>
  <r>
    <x v="1105"/>
    <d v="2025-05-19T00:00:00"/>
    <x v="1"/>
    <x v="0"/>
    <s v="Mobile"/>
    <s v="Organic"/>
    <s v="Basic"/>
    <n v="1"/>
    <n v="1"/>
    <n v="1"/>
    <n v="0"/>
    <n v="0"/>
    <n v="0"/>
    <n v="0"/>
    <n v="0"/>
    <n v="77.3"/>
  </r>
  <r>
    <x v="1106"/>
    <d v="2025-02-25T00:00:00"/>
    <x v="1"/>
    <x v="0"/>
    <s v="Mobile"/>
    <s v="Organic"/>
    <s v="Free"/>
    <n v="0"/>
    <n v="0"/>
    <n v="0"/>
    <n v="0"/>
    <n v="0"/>
    <n v="1"/>
    <n v="0"/>
    <n v="0"/>
    <n v="39.5"/>
  </r>
  <r>
    <x v="1107"/>
    <d v="2025-01-10T00:00:00"/>
    <x v="1"/>
    <x v="3"/>
    <s v="Tablet"/>
    <s v="Organic"/>
    <s v="Basic"/>
    <n v="1"/>
    <n v="0"/>
    <n v="0"/>
    <n v="0"/>
    <n v="0"/>
    <n v="0"/>
    <n v="0"/>
    <n v="0"/>
    <n v="68.099999999999994"/>
  </r>
  <r>
    <x v="1108"/>
    <d v="2025-05-13T00:00:00"/>
    <x v="1"/>
    <x v="0"/>
    <s v="Tablet"/>
    <s v="Paid Search"/>
    <s v="Free"/>
    <n v="0"/>
    <n v="0"/>
    <n v="0"/>
    <n v="0"/>
    <n v="0"/>
    <n v="0"/>
    <n v="0"/>
    <n v="0"/>
    <n v="80.3"/>
  </r>
  <r>
    <x v="1109"/>
    <d v="2025-04-27T00:00:00"/>
    <x v="1"/>
    <x v="1"/>
    <s v="Desktop"/>
    <s v="Organic"/>
    <s v="Premium"/>
    <n v="1"/>
    <n v="0"/>
    <n v="0"/>
    <n v="0"/>
    <n v="0"/>
    <n v="0"/>
    <n v="0"/>
    <n v="0"/>
    <n v="77.7"/>
  </r>
  <r>
    <x v="1110"/>
    <d v="2025-04-03T00:00:00"/>
    <x v="1"/>
    <x v="3"/>
    <s v="Mobile"/>
    <s v="Organic"/>
    <s v="Free"/>
    <n v="1"/>
    <n v="0"/>
    <n v="0"/>
    <n v="0"/>
    <n v="0"/>
    <n v="1"/>
    <n v="0"/>
    <n v="0"/>
    <n v="66.2"/>
  </r>
  <r>
    <x v="1111"/>
    <d v="2025-03-26T00:00:00"/>
    <x v="1"/>
    <x v="3"/>
    <s v="Mobile"/>
    <s v="Organic"/>
    <s v="Free"/>
    <n v="1"/>
    <n v="1"/>
    <n v="1"/>
    <n v="0"/>
    <n v="0"/>
    <n v="1"/>
    <n v="0"/>
    <n v="0"/>
    <n v="43.9"/>
  </r>
  <r>
    <x v="1112"/>
    <d v="2025-01-31T00:00:00"/>
    <x v="1"/>
    <x v="3"/>
    <s v="Mobile"/>
    <s v="Organic"/>
    <s v="Basic"/>
    <n v="1"/>
    <n v="1"/>
    <n v="1"/>
    <n v="0"/>
    <n v="0"/>
    <n v="2"/>
    <n v="0"/>
    <n v="0"/>
    <n v="59.1"/>
  </r>
  <r>
    <x v="1113"/>
    <d v="2025-01-25T00:00:00"/>
    <x v="1"/>
    <x v="3"/>
    <s v="Mobile"/>
    <s v="Social"/>
    <s v="Free"/>
    <n v="1"/>
    <n v="1"/>
    <n v="1"/>
    <n v="1"/>
    <n v="416.94"/>
    <n v="1"/>
    <n v="0"/>
    <n v="11"/>
    <n v="67"/>
  </r>
  <r>
    <x v="1114"/>
    <d v="2025-02-06T00:00:00"/>
    <x v="1"/>
    <x v="1"/>
    <s v="Mobile"/>
    <s v="Referral"/>
    <s v="Basic"/>
    <n v="1"/>
    <n v="0"/>
    <n v="0"/>
    <n v="0"/>
    <n v="0"/>
    <n v="0"/>
    <n v="0"/>
    <n v="0"/>
    <n v="47.9"/>
  </r>
  <r>
    <x v="1115"/>
    <d v="2025-03-10T00:00:00"/>
    <x v="1"/>
    <x v="2"/>
    <s v="Mobile"/>
    <s v="Paid Search"/>
    <s v="Free"/>
    <n v="1"/>
    <n v="1"/>
    <n v="0"/>
    <n v="0"/>
    <n v="0"/>
    <n v="0"/>
    <n v="0"/>
    <n v="0"/>
    <n v="41.5"/>
  </r>
  <r>
    <x v="1116"/>
    <d v="2025-01-26T00:00:00"/>
    <x v="1"/>
    <x v="1"/>
    <s v="Mobile"/>
    <s v="Organic"/>
    <s v="Basic"/>
    <n v="1"/>
    <n v="1"/>
    <n v="1"/>
    <n v="0"/>
    <n v="0"/>
    <n v="3"/>
    <n v="0"/>
    <n v="0"/>
    <n v="30.6"/>
  </r>
  <r>
    <x v="1117"/>
    <d v="2025-01-01T00:00:00"/>
    <x v="1"/>
    <x v="2"/>
    <s v="Mobile"/>
    <s v="Paid Search"/>
    <s v="Free"/>
    <n v="1"/>
    <n v="1"/>
    <n v="0"/>
    <n v="0"/>
    <n v="0"/>
    <n v="0"/>
    <n v="0"/>
    <n v="0"/>
    <n v="91.5"/>
  </r>
  <r>
    <x v="1118"/>
    <d v="2025-04-28T00:00:00"/>
    <x v="1"/>
    <x v="0"/>
    <s v="Desktop"/>
    <s v="Social"/>
    <s v="Basic"/>
    <n v="1"/>
    <n v="0"/>
    <n v="0"/>
    <n v="0"/>
    <n v="0"/>
    <n v="0"/>
    <n v="0"/>
    <n v="0"/>
    <n v="80.8"/>
  </r>
  <r>
    <x v="1119"/>
    <d v="2025-04-04T00:00:00"/>
    <x v="1"/>
    <x v="0"/>
    <s v="Mobile"/>
    <s v="Organic"/>
    <s v="Premium"/>
    <n v="1"/>
    <n v="0"/>
    <n v="0"/>
    <n v="0"/>
    <n v="0"/>
    <n v="0"/>
    <n v="0"/>
    <n v="0"/>
    <n v="68.099999999999994"/>
  </r>
  <r>
    <x v="1120"/>
    <d v="2025-03-02T00:00:00"/>
    <x v="1"/>
    <x v="2"/>
    <s v="Mobile"/>
    <s v="Paid Search"/>
    <s v="Free"/>
    <n v="1"/>
    <n v="0"/>
    <n v="0"/>
    <n v="0"/>
    <n v="0"/>
    <n v="0"/>
    <n v="0"/>
    <n v="0"/>
    <n v="80.3"/>
  </r>
  <r>
    <x v="1121"/>
    <d v="2025-03-19T00:00:00"/>
    <x v="1"/>
    <x v="3"/>
    <s v="Tablet"/>
    <s v="Organic"/>
    <s v="Basic"/>
    <n v="1"/>
    <n v="0"/>
    <n v="0"/>
    <n v="0"/>
    <n v="0"/>
    <n v="0"/>
    <n v="0"/>
    <n v="0"/>
    <n v="44.4"/>
  </r>
  <r>
    <x v="1122"/>
    <d v="2025-01-20T00:00:00"/>
    <x v="1"/>
    <x v="3"/>
    <s v="Desktop"/>
    <s v="Organic"/>
    <s v="Basic"/>
    <n v="0"/>
    <n v="0"/>
    <n v="0"/>
    <n v="0"/>
    <n v="0"/>
    <n v="0"/>
    <n v="0"/>
    <n v="0"/>
    <n v="51.9"/>
  </r>
  <r>
    <x v="1123"/>
    <d v="2025-04-03T00:00:00"/>
    <x v="1"/>
    <x v="2"/>
    <s v="Mobile"/>
    <s v="Paid Search"/>
    <s v="Free"/>
    <n v="1"/>
    <n v="1"/>
    <n v="0"/>
    <n v="0"/>
    <n v="0"/>
    <n v="0"/>
    <n v="0"/>
    <n v="0"/>
    <n v="49.8"/>
  </r>
  <r>
    <x v="1124"/>
    <d v="2025-01-11T00:00:00"/>
    <x v="1"/>
    <x v="2"/>
    <s v="Desktop"/>
    <s v="Social"/>
    <s v="Free"/>
    <n v="1"/>
    <n v="1"/>
    <n v="1"/>
    <n v="0"/>
    <n v="0"/>
    <n v="3"/>
    <n v="0"/>
    <n v="0"/>
    <n v="62.1"/>
  </r>
  <r>
    <x v="1125"/>
    <d v="2025-02-02T00:00:00"/>
    <x v="1"/>
    <x v="1"/>
    <s v="Desktop"/>
    <s v="Social"/>
    <s v="Basic"/>
    <n v="1"/>
    <n v="0"/>
    <n v="0"/>
    <n v="0"/>
    <n v="0"/>
    <n v="0"/>
    <n v="0"/>
    <n v="0"/>
    <n v="91.3"/>
  </r>
  <r>
    <x v="1126"/>
    <d v="2025-04-01T00:00:00"/>
    <x v="1"/>
    <x v="3"/>
    <s v="Mobile"/>
    <s v="Organic"/>
    <s v="Basic"/>
    <n v="1"/>
    <n v="0"/>
    <n v="0"/>
    <n v="0"/>
    <n v="0"/>
    <n v="0"/>
    <n v="0"/>
    <n v="0"/>
    <n v="66.400000000000006"/>
  </r>
  <r>
    <x v="1127"/>
    <d v="2025-05-22T00:00:00"/>
    <x v="1"/>
    <x v="2"/>
    <s v="Mobile"/>
    <s v="Organic"/>
    <s v="Basic"/>
    <n v="1"/>
    <n v="0"/>
    <n v="0"/>
    <n v="0"/>
    <n v="0"/>
    <n v="0"/>
    <n v="0"/>
    <n v="0"/>
    <n v="41.5"/>
  </r>
  <r>
    <x v="1128"/>
    <d v="2025-02-20T00:00:00"/>
    <x v="1"/>
    <x v="1"/>
    <s v="Mobile"/>
    <s v="Organic"/>
    <s v="Basic"/>
    <n v="0"/>
    <n v="0"/>
    <n v="0"/>
    <n v="0"/>
    <n v="0"/>
    <n v="0"/>
    <n v="0"/>
    <n v="0"/>
    <n v="77.099999999999994"/>
  </r>
  <r>
    <x v="1129"/>
    <d v="2025-03-21T00:00:00"/>
    <x v="1"/>
    <x v="1"/>
    <s v="Mobile"/>
    <s v="Organic"/>
    <s v="Free"/>
    <n v="1"/>
    <n v="0"/>
    <n v="0"/>
    <n v="0"/>
    <n v="0"/>
    <n v="0"/>
    <n v="0"/>
    <n v="0"/>
    <n v="63.2"/>
  </r>
  <r>
    <x v="1130"/>
    <d v="2025-05-01T00:00:00"/>
    <x v="1"/>
    <x v="1"/>
    <s v="Desktop"/>
    <s v="Referral"/>
    <s v="Free"/>
    <n v="1"/>
    <n v="1"/>
    <n v="1"/>
    <n v="0"/>
    <n v="0"/>
    <n v="3"/>
    <n v="0"/>
    <n v="0"/>
    <n v="75.7"/>
  </r>
  <r>
    <x v="1131"/>
    <d v="2025-01-06T00:00:00"/>
    <x v="1"/>
    <x v="1"/>
    <s v="Mobile"/>
    <s v="Paid Search"/>
    <s v="Basic"/>
    <n v="0"/>
    <n v="0"/>
    <n v="0"/>
    <n v="0"/>
    <n v="0"/>
    <n v="0"/>
    <n v="0"/>
    <n v="0"/>
    <n v="62.9"/>
  </r>
  <r>
    <x v="1132"/>
    <d v="2025-04-12T00:00:00"/>
    <x v="1"/>
    <x v="0"/>
    <s v="Desktop"/>
    <s v="Paid Search"/>
    <s v="Premium"/>
    <n v="1"/>
    <n v="0"/>
    <n v="0"/>
    <n v="0"/>
    <n v="0"/>
    <n v="3"/>
    <n v="0"/>
    <n v="0"/>
    <n v="64.599999999999994"/>
  </r>
  <r>
    <x v="1133"/>
    <d v="2025-04-18T00:00:00"/>
    <x v="1"/>
    <x v="0"/>
    <s v="Mobile"/>
    <s v="Unknown"/>
    <s v="Basic"/>
    <n v="1"/>
    <n v="0"/>
    <n v="0"/>
    <n v="0"/>
    <n v="0"/>
    <n v="0"/>
    <n v="0"/>
    <n v="0"/>
    <n v="76.599999999999994"/>
  </r>
  <r>
    <x v="1134"/>
    <d v="2025-03-24T00:00:00"/>
    <x v="1"/>
    <x v="2"/>
    <s v="Mobile"/>
    <s v="Social"/>
    <s v="Basic"/>
    <n v="1"/>
    <n v="0"/>
    <n v="0"/>
    <n v="0"/>
    <n v="0"/>
    <n v="0"/>
    <n v="0"/>
    <n v="0"/>
    <n v="74.8"/>
  </r>
  <r>
    <x v="1135"/>
    <d v="2025-03-18T00:00:00"/>
    <x v="1"/>
    <x v="2"/>
    <s v="Desktop"/>
    <s v="Email"/>
    <s v="Premium"/>
    <n v="1"/>
    <n v="0"/>
    <n v="0"/>
    <n v="0"/>
    <n v="0"/>
    <n v="2"/>
    <n v="0"/>
    <n v="0"/>
    <n v="38.1"/>
  </r>
  <r>
    <x v="1136"/>
    <d v="2025-04-30T00:00:00"/>
    <x v="1"/>
    <x v="3"/>
    <s v="Tablet"/>
    <s v="Paid Search"/>
    <s v="Basic"/>
    <n v="1"/>
    <n v="1"/>
    <n v="0"/>
    <n v="0"/>
    <n v="0"/>
    <n v="0"/>
    <n v="0"/>
    <n v="0"/>
    <n v="60.2"/>
  </r>
  <r>
    <x v="1137"/>
    <d v="2025-01-25T00:00:00"/>
    <x v="1"/>
    <x v="1"/>
    <s v="Mobile"/>
    <s v="Email"/>
    <s v="Free"/>
    <n v="1"/>
    <n v="1"/>
    <n v="0"/>
    <n v="0"/>
    <n v="0"/>
    <n v="0"/>
    <n v="0"/>
    <n v="0"/>
    <n v="73.5"/>
  </r>
  <r>
    <x v="1138"/>
    <d v="2025-04-10T00:00:00"/>
    <x v="1"/>
    <x v="3"/>
    <s v="Mobile"/>
    <s v="Organic"/>
    <s v="Free"/>
    <n v="1"/>
    <n v="0"/>
    <n v="0"/>
    <n v="0"/>
    <n v="0"/>
    <n v="0"/>
    <n v="0"/>
    <n v="0"/>
    <n v="70.900000000000006"/>
  </r>
  <r>
    <x v="1139"/>
    <d v="2025-01-10T00:00:00"/>
    <x v="1"/>
    <x v="1"/>
    <s v="Mobile"/>
    <s v="Social"/>
    <s v="Free"/>
    <n v="1"/>
    <n v="0"/>
    <n v="0"/>
    <n v="0"/>
    <n v="0"/>
    <n v="0"/>
    <n v="0"/>
    <n v="0"/>
    <n v="63.7"/>
  </r>
  <r>
    <x v="1140"/>
    <d v="2025-02-11T00:00:00"/>
    <x v="1"/>
    <x v="3"/>
    <s v="Mobile"/>
    <s v="Paid Search"/>
    <s v="Free"/>
    <n v="1"/>
    <n v="0"/>
    <n v="0"/>
    <n v="0"/>
    <n v="0"/>
    <n v="0"/>
    <n v="0"/>
    <n v="0"/>
    <n v="86.5"/>
  </r>
  <r>
    <x v="1141"/>
    <d v="2025-05-01T00:00:00"/>
    <x v="1"/>
    <x v="2"/>
    <s v="Mobile"/>
    <s v="Social"/>
    <s v="Basic"/>
    <n v="1"/>
    <n v="1"/>
    <n v="1"/>
    <n v="1"/>
    <n v="921.72"/>
    <n v="3"/>
    <n v="0"/>
    <n v="7"/>
    <n v="74.599999999999994"/>
  </r>
  <r>
    <x v="1142"/>
    <d v="2025-01-18T00:00:00"/>
    <x v="1"/>
    <x v="2"/>
    <s v="Mobile"/>
    <s v="Organic"/>
    <s v="Free"/>
    <n v="1"/>
    <n v="0"/>
    <n v="0"/>
    <n v="0"/>
    <n v="0"/>
    <n v="0"/>
    <n v="0"/>
    <n v="0"/>
    <n v="46.6"/>
  </r>
  <r>
    <x v="1143"/>
    <d v="2025-01-02T00:00:00"/>
    <x v="1"/>
    <x v="0"/>
    <s v="Mobile"/>
    <s v="Paid Search"/>
    <s v="Free"/>
    <n v="0"/>
    <n v="0"/>
    <n v="0"/>
    <n v="0"/>
    <n v="0"/>
    <n v="0"/>
    <n v="0"/>
    <n v="0"/>
    <n v="61.2"/>
  </r>
  <r>
    <x v="1144"/>
    <d v="2025-05-11T00:00:00"/>
    <x v="1"/>
    <x v="1"/>
    <s v="Mobile"/>
    <s v="Organic"/>
    <s v="Free"/>
    <n v="1"/>
    <n v="1"/>
    <n v="1"/>
    <n v="1"/>
    <n v="290.39"/>
    <n v="0"/>
    <n v="0"/>
    <n v="4"/>
    <n v="54.4"/>
  </r>
  <r>
    <x v="1145"/>
    <d v="2025-03-22T00:00:00"/>
    <x v="1"/>
    <x v="0"/>
    <s v="Mobile"/>
    <s v="Referral"/>
    <s v="Free"/>
    <n v="1"/>
    <n v="1"/>
    <n v="1"/>
    <n v="0"/>
    <n v="0"/>
    <n v="0"/>
    <n v="0"/>
    <n v="0"/>
    <n v="72"/>
  </r>
  <r>
    <x v="1146"/>
    <d v="2025-05-02T00:00:00"/>
    <x v="1"/>
    <x v="3"/>
    <s v="Mobile"/>
    <s v="Social"/>
    <s v="Premium"/>
    <n v="1"/>
    <n v="1"/>
    <n v="1"/>
    <n v="1"/>
    <n v="1858.85"/>
    <n v="0"/>
    <n v="0"/>
    <n v="8"/>
    <n v="88.6"/>
  </r>
  <r>
    <x v="1147"/>
    <d v="2025-05-26T00:00:00"/>
    <x v="1"/>
    <x v="2"/>
    <s v="Desktop"/>
    <s v="Unknown"/>
    <s v="Basic"/>
    <n v="1"/>
    <n v="0"/>
    <n v="0"/>
    <n v="0"/>
    <n v="0"/>
    <n v="0"/>
    <n v="0"/>
    <n v="0"/>
    <n v="77.599999999999994"/>
  </r>
  <r>
    <x v="1148"/>
    <d v="2025-03-13T00:00:00"/>
    <x v="1"/>
    <x v="3"/>
    <s v="Mobile"/>
    <s v="Organic"/>
    <s v="Basic"/>
    <n v="1"/>
    <n v="0"/>
    <n v="0"/>
    <n v="0"/>
    <n v="0"/>
    <n v="1"/>
    <n v="0"/>
    <n v="0"/>
    <n v="44.3"/>
  </r>
  <r>
    <x v="1149"/>
    <d v="2025-05-17T00:00:00"/>
    <x v="1"/>
    <x v="3"/>
    <s v="Desktop"/>
    <s v="Paid Search"/>
    <s v="Free"/>
    <n v="1"/>
    <n v="1"/>
    <n v="0"/>
    <n v="0"/>
    <n v="0"/>
    <n v="0"/>
    <n v="0"/>
    <n v="0"/>
    <n v="49"/>
  </r>
  <r>
    <x v="1150"/>
    <d v="2025-03-13T00:00:00"/>
    <x v="1"/>
    <x v="0"/>
    <s v="Desktop"/>
    <s v="Referral"/>
    <s v="Premium"/>
    <n v="1"/>
    <n v="0"/>
    <n v="0"/>
    <n v="0"/>
    <n v="0"/>
    <n v="0"/>
    <n v="0"/>
    <n v="0"/>
    <n v="53.9"/>
  </r>
  <r>
    <x v="1151"/>
    <d v="2025-02-11T00:00:00"/>
    <x v="1"/>
    <x v="2"/>
    <s v="Desktop"/>
    <s v="Organic"/>
    <s v="Basic"/>
    <n v="1"/>
    <n v="0"/>
    <n v="0"/>
    <n v="0"/>
    <n v="0"/>
    <n v="1"/>
    <n v="0"/>
    <n v="0"/>
    <n v="69"/>
  </r>
  <r>
    <x v="1152"/>
    <d v="2025-03-01T00:00:00"/>
    <x v="1"/>
    <x v="1"/>
    <s v="Mobile"/>
    <s v="Social"/>
    <s v="Free"/>
    <n v="0"/>
    <n v="0"/>
    <n v="0"/>
    <n v="0"/>
    <n v="0"/>
    <n v="0"/>
    <n v="0"/>
    <n v="0"/>
    <n v="37.4"/>
  </r>
  <r>
    <x v="1153"/>
    <d v="2025-04-15T00:00:00"/>
    <x v="1"/>
    <x v="1"/>
    <s v="Mobile"/>
    <s v="Organic"/>
    <s v="Basic"/>
    <n v="0"/>
    <n v="0"/>
    <n v="0"/>
    <n v="0"/>
    <n v="0"/>
    <n v="0"/>
    <n v="0"/>
    <n v="0"/>
    <n v="59"/>
  </r>
  <r>
    <x v="1154"/>
    <d v="2025-02-02T00:00:00"/>
    <x v="1"/>
    <x v="2"/>
    <s v="Mobile"/>
    <s v="Organic"/>
    <s v="Premium"/>
    <n v="1"/>
    <n v="0"/>
    <n v="0"/>
    <n v="0"/>
    <n v="0"/>
    <n v="0"/>
    <n v="0"/>
    <n v="0"/>
    <n v="60.8"/>
  </r>
  <r>
    <x v="1155"/>
    <d v="2025-05-19T00:00:00"/>
    <x v="1"/>
    <x v="3"/>
    <s v="Mobile"/>
    <s v="Email"/>
    <s v="Free"/>
    <n v="1"/>
    <n v="0"/>
    <n v="0"/>
    <n v="0"/>
    <n v="0"/>
    <n v="0"/>
    <n v="0"/>
    <n v="0"/>
    <n v="57.5"/>
  </r>
  <r>
    <x v="1156"/>
    <d v="2025-01-05T00:00:00"/>
    <x v="1"/>
    <x v="1"/>
    <s v="Mobile"/>
    <s v="Referral"/>
    <s v="Free"/>
    <n v="0"/>
    <n v="0"/>
    <n v="0"/>
    <n v="0"/>
    <n v="0"/>
    <n v="0"/>
    <n v="0"/>
    <n v="0"/>
    <n v="84.2"/>
  </r>
  <r>
    <x v="1157"/>
    <d v="2025-03-08T00:00:00"/>
    <x v="1"/>
    <x v="3"/>
    <s v="Mobile"/>
    <s v="Paid Search"/>
    <s v="Free"/>
    <n v="1"/>
    <n v="1"/>
    <n v="0"/>
    <n v="0"/>
    <n v="0"/>
    <n v="0"/>
    <n v="0"/>
    <n v="0"/>
    <n v="27.4"/>
  </r>
  <r>
    <x v="1158"/>
    <d v="2025-03-12T00:00:00"/>
    <x v="1"/>
    <x v="1"/>
    <s v="Mobile"/>
    <s v="Email"/>
    <s v="Basic"/>
    <n v="1"/>
    <n v="0"/>
    <n v="0"/>
    <n v="0"/>
    <n v="0"/>
    <n v="1"/>
    <n v="0"/>
    <n v="0"/>
    <n v="67.599999999999994"/>
  </r>
  <r>
    <x v="1159"/>
    <d v="2025-01-24T00:00:00"/>
    <x v="1"/>
    <x v="1"/>
    <s v="Mobile"/>
    <s v="Organic"/>
    <s v="Free"/>
    <n v="0"/>
    <n v="0"/>
    <n v="0"/>
    <n v="0"/>
    <n v="0"/>
    <n v="0"/>
    <n v="0"/>
    <n v="0"/>
    <n v="68.400000000000006"/>
  </r>
  <r>
    <x v="1160"/>
    <d v="2025-05-22T00:00:00"/>
    <x v="1"/>
    <x v="3"/>
    <s v="Mobile"/>
    <s v="Paid Search"/>
    <s v="Basic"/>
    <n v="1"/>
    <n v="1"/>
    <n v="1"/>
    <n v="0"/>
    <n v="0"/>
    <n v="0"/>
    <n v="0"/>
    <n v="0"/>
    <n v="66.5"/>
  </r>
  <r>
    <x v="1161"/>
    <d v="2025-03-27T00:00:00"/>
    <x v="1"/>
    <x v="3"/>
    <s v="Mobile"/>
    <s v="Paid Search"/>
    <s v="Free"/>
    <n v="1"/>
    <n v="0"/>
    <n v="0"/>
    <n v="0"/>
    <n v="0"/>
    <n v="0"/>
    <n v="0"/>
    <n v="0"/>
    <n v="38.200000000000003"/>
  </r>
  <r>
    <x v="1162"/>
    <d v="2025-01-02T00:00:00"/>
    <x v="1"/>
    <x v="1"/>
    <s v="Mobile"/>
    <s v="Social"/>
    <s v="Free"/>
    <n v="0"/>
    <n v="0"/>
    <n v="0"/>
    <n v="0"/>
    <n v="0"/>
    <n v="1"/>
    <n v="0"/>
    <n v="0"/>
    <n v="66.7"/>
  </r>
  <r>
    <x v="1163"/>
    <d v="2025-02-24T00:00:00"/>
    <x v="1"/>
    <x v="0"/>
    <s v="Mobile"/>
    <s v="Paid Search"/>
    <s v="Free"/>
    <n v="0"/>
    <n v="0"/>
    <n v="0"/>
    <n v="0"/>
    <n v="0"/>
    <n v="1"/>
    <n v="0"/>
    <n v="0"/>
    <n v="73.7"/>
  </r>
  <r>
    <x v="1164"/>
    <d v="2025-03-01T00:00:00"/>
    <x v="1"/>
    <x v="1"/>
    <s v="Desktop"/>
    <s v="Organic"/>
    <s v="Basic"/>
    <n v="1"/>
    <n v="1"/>
    <n v="1"/>
    <n v="0"/>
    <n v="0"/>
    <n v="0"/>
    <n v="0"/>
    <n v="0"/>
    <n v="63.9"/>
  </r>
  <r>
    <x v="1165"/>
    <d v="2025-03-26T00:00:00"/>
    <x v="1"/>
    <x v="3"/>
    <s v="Tablet"/>
    <s v="Organic"/>
    <s v="Basic"/>
    <n v="1"/>
    <n v="0"/>
    <n v="0"/>
    <n v="0"/>
    <n v="0"/>
    <n v="1"/>
    <n v="0"/>
    <n v="0"/>
    <n v="82.6"/>
  </r>
  <r>
    <x v="1166"/>
    <d v="2025-05-25T00:00:00"/>
    <x v="1"/>
    <x v="2"/>
    <s v="Mobile"/>
    <s v="Paid Search"/>
    <s v="Free"/>
    <n v="0"/>
    <n v="0"/>
    <n v="0"/>
    <n v="0"/>
    <n v="0"/>
    <n v="1"/>
    <n v="0"/>
    <n v="0"/>
    <n v="58.3"/>
  </r>
  <r>
    <x v="1167"/>
    <d v="2025-02-25T00:00:00"/>
    <x v="1"/>
    <x v="1"/>
    <s v="Mobile"/>
    <s v="Referral"/>
    <s v="Premium"/>
    <n v="1"/>
    <n v="1"/>
    <n v="1"/>
    <n v="1"/>
    <n v="1547.06"/>
    <n v="0"/>
    <n v="1"/>
    <n v="2"/>
    <n v="72.900000000000006"/>
  </r>
  <r>
    <x v="1168"/>
    <d v="2025-03-23T00:00:00"/>
    <x v="1"/>
    <x v="3"/>
    <s v="Mobile"/>
    <s v="Social"/>
    <s v="Free"/>
    <n v="1"/>
    <n v="1"/>
    <n v="1"/>
    <n v="0"/>
    <n v="0"/>
    <n v="2"/>
    <n v="0"/>
    <n v="0"/>
    <n v="53.5"/>
  </r>
  <r>
    <x v="1169"/>
    <d v="2025-04-21T00:00:00"/>
    <x v="1"/>
    <x v="1"/>
    <s v="Mobile"/>
    <s v="Referral"/>
    <s v="Free"/>
    <n v="1"/>
    <n v="0"/>
    <n v="0"/>
    <n v="0"/>
    <n v="0"/>
    <n v="0"/>
    <n v="0"/>
    <n v="0"/>
    <n v="54.8"/>
  </r>
  <r>
    <x v="1170"/>
    <d v="2025-05-21T00:00:00"/>
    <x v="1"/>
    <x v="0"/>
    <s v="Mobile"/>
    <s v="Organic"/>
    <s v="Premium"/>
    <n v="1"/>
    <n v="0"/>
    <n v="0"/>
    <n v="0"/>
    <n v="0"/>
    <n v="0"/>
    <n v="0"/>
    <n v="0"/>
    <n v="69.5"/>
  </r>
  <r>
    <x v="1171"/>
    <d v="2025-04-25T00:00:00"/>
    <x v="1"/>
    <x v="0"/>
    <s v="Desktop"/>
    <s v="Social"/>
    <s v="Free"/>
    <n v="1"/>
    <n v="0"/>
    <n v="0"/>
    <n v="0"/>
    <n v="0"/>
    <n v="1"/>
    <n v="0"/>
    <n v="0"/>
    <n v="71.3"/>
  </r>
  <r>
    <x v="1172"/>
    <d v="2025-05-23T00:00:00"/>
    <x v="1"/>
    <x v="1"/>
    <s v="Mobile"/>
    <s v="Referral"/>
    <s v="Basic"/>
    <n v="1"/>
    <n v="0"/>
    <n v="0"/>
    <n v="0"/>
    <n v="0"/>
    <n v="1"/>
    <n v="0"/>
    <n v="0"/>
    <n v="57.5"/>
  </r>
  <r>
    <x v="1173"/>
    <d v="2025-03-18T00:00:00"/>
    <x v="1"/>
    <x v="3"/>
    <s v="Mobile"/>
    <s v="Email"/>
    <s v="Free"/>
    <n v="1"/>
    <n v="0"/>
    <n v="0"/>
    <n v="0"/>
    <n v="0"/>
    <n v="4"/>
    <n v="0"/>
    <n v="0"/>
    <n v="50.9"/>
  </r>
  <r>
    <x v="1174"/>
    <d v="2025-01-03T00:00:00"/>
    <x v="1"/>
    <x v="3"/>
    <s v="Tablet"/>
    <s v="Organic"/>
    <s v="Free"/>
    <n v="1"/>
    <n v="1"/>
    <n v="1"/>
    <n v="0"/>
    <n v="0"/>
    <n v="0"/>
    <n v="0"/>
    <n v="0"/>
    <n v="69.3"/>
  </r>
  <r>
    <x v="1175"/>
    <d v="2025-02-08T00:00:00"/>
    <x v="1"/>
    <x v="1"/>
    <s v="Desktop"/>
    <s v="Organic"/>
    <s v="Free"/>
    <n v="1"/>
    <n v="0"/>
    <n v="0"/>
    <n v="0"/>
    <n v="0"/>
    <n v="0"/>
    <n v="0"/>
    <n v="0"/>
    <n v="50.1"/>
  </r>
  <r>
    <x v="1176"/>
    <d v="2025-02-04T00:00:00"/>
    <x v="1"/>
    <x v="2"/>
    <s v="Unknown"/>
    <s v="Paid Search"/>
    <s v="Basic"/>
    <n v="0"/>
    <n v="0"/>
    <n v="0"/>
    <n v="0"/>
    <n v="0"/>
    <n v="0"/>
    <n v="0"/>
    <n v="0"/>
    <n v="69.7"/>
  </r>
  <r>
    <x v="1177"/>
    <d v="2025-01-16T00:00:00"/>
    <x v="1"/>
    <x v="0"/>
    <s v="Mobile"/>
    <s v="Paid Search"/>
    <s v="Free"/>
    <n v="0"/>
    <n v="0"/>
    <n v="0"/>
    <n v="0"/>
    <n v="0"/>
    <n v="0"/>
    <n v="0"/>
    <n v="0"/>
    <n v="63.5"/>
  </r>
  <r>
    <x v="1178"/>
    <d v="2025-04-04T00:00:00"/>
    <x v="1"/>
    <x v="1"/>
    <s v="Desktop"/>
    <s v="Paid Search"/>
    <s v="Free"/>
    <n v="1"/>
    <n v="1"/>
    <n v="1"/>
    <n v="1"/>
    <n v="265.58999999999997"/>
    <n v="1"/>
    <n v="0"/>
    <n v="8"/>
    <n v="80.400000000000006"/>
  </r>
  <r>
    <x v="1179"/>
    <d v="2025-01-23T00:00:00"/>
    <x v="1"/>
    <x v="0"/>
    <s v="Desktop"/>
    <s v="Paid Search"/>
    <s v="Free"/>
    <n v="0"/>
    <n v="0"/>
    <n v="0"/>
    <n v="0"/>
    <n v="0"/>
    <n v="0"/>
    <n v="0"/>
    <n v="0"/>
    <n v="58.9"/>
  </r>
  <r>
    <x v="1180"/>
    <d v="2025-03-22T00:00:00"/>
    <x v="1"/>
    <x v="3"/>
    <s v="Desktop"/>
    <s v="Paid Search"/>
    <s v="Free"/>
    <n v="1"/>
    <n v="0"/>
    <n v="0"/>
    <n v="0"/>
    <n v="0"/>
    <n v="0"/>
    <n v="0"/>
    <n v="0"/>
    <n v="56.8"/>
  </r>
  <r>
    <x v="1181"/>
    <d v="2025-02-02T00:00:00"/>
    <x v="1"/>
    <x v="2"/>
    <s v="Tablet"/>
    <s v="Social"/>
    <s v="Premium"/>
    <n v="0"/>
    <n v="0"/>
    <n v="0"/>
    <n v="0"/>
    <n v="0"/>
    <n v="0"/>
    <n v="0"/>
    <n v="0"/>
    <n v="73.900000000000006"/>
  </r>
  <r>
    <x v="1182"/>
    <d v="2025-01-31T00:00:00"/>
    <x v="1"/>
    <x v="0"/>
    <s v="Desktop"/>
    <s v="Paid Search"/>
    <s v="Free"/>
    <n v="0"/>
    <n v="0"/>
    <n v="0"/>
    <n v="0"/>
    <n v="0"/>
    <n v="0"/>
    <n v="0"/>
    <n v="0"/>
    <n v="76.3"/>
  </r>
  <r>
    <x v="1183"/>
    <d v="2025-05-27T00:00:00"/>
    <x v="1"/>
    <x v="1"/>
    <s v="Mobile"/>
    <s v="Organic"/>
    <s v="Basic"/>
    <n v="1"/>
    <n v="0"/>
    <n v="0"/>
    <n v="0"/>
    <n v="0"/>
    <n v="0"/>
    <n v="0"/>
    <n v="0"/>
    <n v="56.9"/>
  </r>
  <r>
    <x v="1184"/>
    <d v="2025-05-07T00:00:00"/>
    <x v="1"/>
    <x v="0"/>
    <s v="Mobile"/>
    <s v="Organic"/>
    <s v="Premium"/>
    <n v="1"/>
    <n v="0"/>
    <n v="0"/>
    <n v="0"/>
    <n v="0"/>
    <n v="2"/>
    <n v="0"/>
    <n v="0"/>
    <n v="49.4"/>
  </r>
  <r>
    <x v="1185"/>
    <d v="2025-05-08T00:00:00"/>
    <x v="1"/>
    <x v="0"/>
    <s v="Desktop"/>
    <s v="Paid Search"/>
    <s v="Basic"/>
    <n v="1"/>
    <n v="0"/>
    <n v="0"/>
    <n v="0"/>
    <n v="0"/>
    <n v="0"/>
    <n v="0"/>
    <n v="0"/>
    <n v="86.7"/>
  </r>
  <r>
    <x v="1186"/>
    <d v="2025-01-15T00:00:00"/>
    <x v="1"/>
    <x v="1"/>
    <s v="Desktop"/>
    <s v="Email"/>
    <s v="Free"/>
    <n v="1"/>
    <n v="0"/>
    <n v="0"/>
    <n v="0"/>
    <n v="0"/>
    <n v="3"/>
    <n v="0"/>
    <n v="0"/>
    <n v="69"/>
  </r>
  <r>
    <x v="1187"/>
    <d v="2025-01-18T00:00:00"/>
    <x v="1"/>
    <x v="0"/>
    <s v="Mobile"/>
    <s v="Paid Search"/>
    <s v="Free"/>
    <n v="0"/>
    <n v="0"/>
    <n v="0"/>
    <n v="0"/>
    <n v="0"/>
    <n v="0"/>
    <n v="0"/>
    <n v="0"/>
    <n v="84.5"/>
  </r>
  <r>
    <x v="1188"/>
    <d v="2025-04-16T00:00:00"/>
    <x v="1"/>
    <x v="2"/>
    <s v="Unknown"/>
    <s v="Referral"/>
    <s v="Free"/>
    <n v="1"/>
    <n v="0"/>
    <n v="0"/>
    <n v="0"/>
    <n v="0"/>
    <n v="0"/>
    <n v="0"/>
    <n v="0"/>
    <n v="66.3"/>
  </r>
  <r>
    <x v="1189"/>
    <d v="2025-02-16T00:00:00"/>
    <x v="1"/>
    <x v="2"/>
    <s v="Desktop"/>
    <s v="Paid Search"/>
    <s v="Free"/>
    <n v="0"/>
    <n v="0"/>
    <n v="0"/>
    <n v="0"/>
    <n v="0"/>
    <n v="0"/>
    <n v="0"/>
    <n v="0"/>
    <n v="52.2"/>
  </r>
  <r>
    <x v="1190"/>
    <d v="2025-04-17T00:00:00"/>
    <x v="1"/>
    <x v="3"/>
    <s v="Desktop"/>
    <s v="Referral"/>
    <s v="Premium"/>
    <n v="1"/>
    <n v="1"/>
    <n v="1"/>
    <n v="0"/>
    <n v="0"/>
    <n v="0"/>
    <n v="0"/>
    <n v="0"/>
    <n v="81.2"/>
  </r>
  <r>
    <x v="1191"/>
    <d v="2025-04-30T00:00:00"/>
    <x v="1"/>
    <x v="3"/>
    <s v="Mobile"/>
    <s v="Organic"/>
    <s v="Basic"/>
    <n v="0"/>
    <n v="0"/>
    <n v="0"/>
    <n v="0"/>
    <n v="0"/>
    <n v="0"/>
    <n v="0"/>
    <n v="0"/>
    <n v="53.9"/>
  </r>
  <r>
    <x v="1192"/>
    <d v="2025-01-29T00:00:00"/>
    <x v="1"/>
    <x v="1"/>
    <s v="Mobile"/>
    <s v="Social"/>
    <s v="Premium"/>
    <n v="0"/>
    <n v="0"/>
    <n v="0"/>
    <n v="0"/>
    <n v="0"/>
    <n v="0"/>
    <n v="0"/>
    <n v="0"/>
    <n v="39.1"/>
  </r>
  <r>
    <x v="1193"/>
    <d v="2025-01-11T00:00:00"/>
    <x v="1"/>
    <x v="0"/>
    <s v="Mobile"/>
    <s v="Social"/>
    <s v="Basic"/>
    <n v="0"/>
    <n v="0"/>
    <n v="0"/>
    <n v="0"/>
    <n v="0"/>
    <n v="0"/>
    <n v="0"/>
    <n v="0"/>
    <n v="57.3"/>
  </r>
  <r>
    <x v="1194"/>
    <d v="2025-04-08T00:00:00"/>
    <x v="1"/>
    <x v="2"/>
    <s v="Desktop"/>
    <s v="Paid Search"/>
    <s v="Premium"/>
    <n v="1"/>
    <n v="0"/>
    <n v="0"/>
    <n v="0"/>
    <n v="0"/>
    <n v="1"/>
    <n v="0"/>
    <n v="0"/>
    <n v="65.900000000000006"/>
  </r>
  <r>
    <x v="1195"/>
    <d v="2025-02-22T00:00:00"/>
    <x v="1"/>
    <x v="0"/>
    <s v="Unknown"/>
    <s v="Social"/>
    <s v="Free"/>
    <n v="1"/>
    <n v="0"/>
    <n v="0"/>
    <n v="0"/>
    <n v="0"/>
    <n v="1"/>
    <n v="0"/>
    <n v="0"/>
    <n v="34.200000000000003"/>
  </r>
  <r>
    <x v="1196"/>
    <d v="2025-03-23T00:00:00"/>
    <x v="1"/>
    <x v="3"/>
    <s v="Mobile"/>
    <s v="Organic"/>
    <s v="Free"/>
    <n v="0"/>
    <n v="0"/>
    <n v="0"/>
    <n v="0"/>
    <n v="0"/>
    <n v="0"/>
    <n v="0"/>
    <n v="0"/>
    <n v="47.2"/>
  </r>
  <r>
    <x v="1197"/>
    <d v="2025-05-23T00:00:00"/>
    <x v="1"/>
    <x v="3"/>
    <s v="Tablet"/>
    <s v="Paid Search"/>
    <s v="Free"/>
    <n v="1"/>
    <n v="0"/>
    <n v="0"/>
    <n v="0"/>
    <n v="0"/>
    <n v="1"/>
    <n v="0"/>
    <n v="0"/>
    <n v="55"/>
  </r>
  <r>
    <x v="1198"/>
    <d v="2025-04-27T00:00:00"/>
    <x v="1"/>
    <x v="1"/>
    <s v="Mobile"/>
    <s v="Referral"/>
    <s v="Basic"/>
    <n v="1"/>
    <n v="1"/>
    <n v="1"/>
    <n v="0"/>
    <n v="0"/>
    <n v="0"/>
    <n v="0"/>
    <n v="0"/>
    <n v="76.400000000000006"/>
  </r>
  <r>
    <x v="1199"/>
    <d v="2025-05-26T00:00:00"/>
    <x v="1"/>
    <x v="0"/>
    <s v="Mobile"/>
    <s v="Referral"/>
    <s v="Free"/>
    <n v="1"/>
    <n v="0"/>
    <n v="0"/>
    <n v="0"/>
    <n v="0"/>
    <n v="0"/>
    <n v="0"/>
    <n v="0"/>
    <n v="70.8"/>
  </r>
  <r>
    <x v="1200"/>
    <d v="2025-03-06T00:00:00"/>
    <x v="1"/>
    <x v="2"/>
    <s v="Mobile"/>
    <s v="Paid Search"/>
    <s v="Basic"/>
    <n v="1"/>
    <n v="1"/>
    <n v="0"/>
    <n v="0"/>
    <n v="0"/>
    <n v="1"/>
    <n v="0"/>
    <n v="0"/>
    <n v="58"/>
  </r>
  <r>
    <x v="1201"/>
    <d v="2025-04-03T00:00:00"/>
    <x v="1"/>
    <x v="1"/>
    <s v="Mobile"/>
    <s v="Organic"/>
    <s v="Basic"/>
    <n v="1"/>
    <n v="1"/>
    <n v="1"/>
    <n v="0"/>
    <n v="0"/>
    <n v="1"/>
    <n v="0"/>
    <n v="0"/>
    <n v="70.8"/>
  </r>
  <r>
    <x v="1202"/>
    <d v="2025-02-01T00:00:00"/>
    <x v="1"/>
    <x v="2"/>
    <s v="Desktop"/>
    <s v="Paid Search"/>
    <s v="Free"/>
    <n v="1"/>
    <n v="0"/>
    <n v="0"/>
    <n v="0"/>
    <n v="0"/>
    <n v="3"/>
    <n v="0"/>
    <n v="0"/>
    <n v="60"/>
  </r>
  <r>
    <x v="1203"/>
    <d v="2025-05-01T00:00:00"/>
    <x v="1"/>
    <x v="1"/>
    <s v="Mobile"/>
    <s v="Referral"/>
    <s v="Premium"/>
    <n v="1"/>
    <n v="1"/>
    <n v="1"/>
    <n v="0"/>
    <n v="0"/>
    <n v="3"/>
    <n v="0"/>
    <n v="0"/>
    <n v="58.1"/>
  </r>
  <r>
    <x v="1204"/>
    <d v="2025-04-13T00:00:00"/>
    <x v="1"/>
    <x v="0"/>
    <s v="Mobile"/>
    <s v="Social"/>
    <s v="Premium"/>
    <n v="0"/>
    <n v="0"/>
    <n v="0"/>
    <n v="0"/>
    <n v="0"/>
    <n v="0"/>
    <n v="0"/>
    <n v="0"/>
    <n v="59.7"/>
  </r>
  <r>
    <x v="1205"/>
    <d v="2025-01-25T00:00:00"/>
    <x v="1"/>
    <x v="2"/>
    <s v="Mobile"/>
    <s v="Social"/>
    <s v="Free"/>
    <n v="0"/>
    <n v="0"/>
    <n v="0"/>
    <n v="0"/>
    <n v="0"/>
    <n v="0"/>
    <n v="0"/>
    <n v="0"/>
    <n v="47.7"/>
  </r>
  <r>
    <x v="1206"/>
    <d v="2025-03-17T00:00:00"/>
    <x v="1"/>
    <x v="0"/>
    <s v="Mobile"/>
    <s v="Organic"/>
    <s v="Free"/>
    <n v="0"/>
    <n v="0"/>
    <n v="0"/>
    <n v="0"/>
    <n v="0"/>
    <n v="0"/>
    <n v="0"/>
    <n v="0"/>
    <n v="59.1"/>
  </r>
  <r>
    <x v="1207"/>
    <d v="2025-02-21T00:00:00"/>
    <x v="1"/>
    <x v="1"/>
    <s v="Desktop"/>
    <s v="Social"/>
    <s v="Basic"/>
    <n v="1"/>
    <n v="0"/>
    <n v="0"/>
    <n v="0"/>
    <n v="0"/>
    <n v="1"/>
    <n v="0"/>
    <n v="0"/>
    <n v="68.7"/>
  </r>
  <r>
    <x v="1208"/>
    <d v="2025-04-08T00:00:00"/>
    <x v="1"/>
    <x v="2"/>
    <s v="Tablet"/>
    <s v="Organic"/>
    <s v="Basic"/>
    <n v="0"/>
    <n v="0"/>
    <n v="0"/>
    <n v="0"/>
    <n v="0"/>
    <n v="0"/>
    <n v="0"/>
    <n v="0"/>
    <n v="34.700000000000003"/>
  </r>
  <r>
    <x v="1209"/>
    <d v="2025-02-24T00:00:00"/>
    <x v="1"/>
    <x v="1"/>
    <s v="Mobile"/>
    <s v="Organic"/>
    <s v="Basic"/>
    <n v="1"/>
    <n v="0"/>
    <n v="0"/>
    <n v="0"/>
    <n v="0"/>
    <n v="0"/>
    <n v="0"/>
    <n v="0"/>
    <n v="62"/>
  </r>
  <r>
    <x v="1210"/>
    <d v="2025-05-29T00:00:00"/>
    <x v="1"/>
    <x v="3"/>
    <s v="Mobile"/>
    <s v="Organic"/>
    <s v="Free"/>
    <n v="1"/>
    <n v="1"/>
    <n v="0"/>
    <n v="0"/>
    <n v="0"/>
    <n v="0"/>
    <n v="0"/>
    <n v="0"/>
    <n v="56"/>
  </r>
  <r>
    <x v="1211"/>
    <d v="2025-05-30T00:00:00"/>
    <x v="1"/>
    <x v="0"/>
    <s v="Mobile"/>
    <s v="Email"/>
    <s v="Basic"/>
    <n v="1"/>
    <n v="0"/>
    <n v="0"/>
    <n v="0"/>
    <n v="0"/>
    <n v="1"/>
    <n v="0"/>
    <n v="0"/>
    <n v="65.8"/>
  </r>
  <r>
    <x v="1212"/>
    <d v="2025-01-24T00:00:00"/>
    <x v="1"/>
    <x v="0"/>
    <s v="Desktop"/>
    <s v="Organic"/>
    <s v="Premium"/>
    <n v="0"/>
    <n v="0"/>
    <n v="0"/>
    <n v="0"/>
    <n v="0"/>
    <n v="0"/>
    <n v="0"/>
    <n v="0"/>
    <n v="54.7"/>
  </r>
  <r>
    <x v="1213"/>
    <d v="2025-05-12T00:00:00"/>
    <x v="1"/>
    <x v="3"/>
    <s v="Mobile"/>
    <s v="Organic"/>
    <s v="Basic"/>
    <n v="1"/>
    <n v="1"/>
    <n v="0"/>
    <n v="0"/>
    <n v="0"/>
    <n v="0"/>
    <n v="0"/>
    <n v="0"/>
    <n v="64.099999999999994"/>
  </r>
  <r>
    <x v="1214"/>
    <d v="2025-03-28T00:00:00"/>
    <x v="1"/>
    <x v="3"/>
    <s v="Mobile"/>
    <s v="Organic"/>
    <s v="Basic"/>
    <n v="1"/>
    <n v="1"/>
    <n v="1"/>
    <n v="0"/>
    <n v="0"/>
    <n v="0"/>
    <n v="0"/>
    <n v="0"/>
    <n v="71.599999999999994"/>
  </r>
  <r>
    <x v="1215"/>
    <d v="2025-04-14T00:00:00"/>
    <x v="1"/>
    <x v="0"/>
    <s v="Mobile"/>
    <s v="Referral"/>
    <s v="Basic"/>
    <n v="1"/>
    <n v="0"/>
    <n v="0"/>
    <n v="0"/>
    <n v="0"/>
    <n v="0"/>
    <n v="0"/>
    <n v="0"/>
    <n v="78.400000000000006"/>
  </r>
  <r>
    <x v="1216"/>
    <d v="2025-01-28T00:00:00"/>
    <x v="1"/>
    <x v="2"/>
    <s v="Tablet"/>
    <s v="Referral"/>
    <s v="Basic"/>
    <n v="0"/>
    <n v="0"/>
    <n v="0"/>
    <n v="0"/>
    <n v="0"/>
    <n v="0"/>
    <n v="0"/>
    <n v="0"/>
    <n v="49.3"/>
  </r>
  <r>
    <x v="1217"/>
    <d v="2025-05-21T00:00:00"/>
    <x v="1"/>
    <x v="0"/>
    <s v="Mobile"/>
    <s v="Organic"/>
    <s v="Basic"/>
    <n v="0"/>
    <n v="0"/>
    <n v="0"/>
    <n v="0"/>
    <n v="0"/>
    <n v="0"/>
    <n v="0"/>
    <n v="0"/>
    <n v="52.8"/>
  </r>
  <r>
    <x v="1218"/>
    <d v="2025-05-11T00:00:00"/>
    <x v="1"/>
    <x v="1"/>
    <s v="Desktop"/>
    <s v="Organic"/>
    <s v="Free"/>
    <n v="0"/>
    <n v="0"/>
    <n v="0"/>
    <n v="0"/>
    <n v="0"/>
    <n v="0"/>
    <n v="0"/>
    <n v="0"/>
    <n v="58.5"/>
  </r>
  <r>
    <x v="1219"/>
    <d v="2025-02-02T00:00:00"/>
    <x v="1"/>
    <x v="3"/>
    <s v="Mobile"/>
    <s v="Paid Search"/>
    <s v="Free"/>
    <n v="1"/>
    <n v="0"/>
    <n v="0"/>
    <n v="0"/>
    <n v="0"/>
    <n v="0"/>
    <n v="0"/>
    <n v="0"/>
    <n v="55.9"/>
  </r>
  <r>
    <x v="1220"/>
    <d v="2025-02-26T00:00:00"/>
    <x v="1"/>
    <x v="0"/>
    <s v="Mobile"/>
    <s v="Social"/>
    <s v="Free"/>
    <n v="1"/>
    <n v="1"/>
    <n v="1"/>
    <n v="1"/>
    <n v="351.43"/>
    <n v="1"/>
    <n v="0"/>
    <n v="6"/>
    <n v="74.900000000000006"/>
  </r>
  <r>
    <x v="1221"/>
    <d v="2025-02-27T00:00:00"/>
    <x v="1"/>
    <x v="3"/>
    <s v="Desktop"/>
    <s v="Referral"/>
    <s v="Free"/>
    <n v="1"/>
    <n v="1"/>
    <n v="1"/>
    <n v="1"/>
    <n v="352.42"/>
    <n v="0"/>
    <n v="0"/>
    <n v="4"/>
    <n v="58.5"/>
  </r>
  <r>
    <x v="1222"/>
    <d v="2025-03-09T00:00:00"/>
    <x v="1"/>
    <x v="1"/>
    <s v="Mobile"/>
    <s v="Organic"/>
    <s v="Free"/>
    <n v="0"/>
    <n v="0"/>
    <n v="0"/>
    <n v="0"/>
    <n v="0"/>
    <n v="0"/>
    <n v="0"/>
    <n v="0"/>
    <n v="63.5"/>
  </r>
  <r>
    <x v="1223"/>
    <d v="2025-02-07T00:00:00"/>
    <x v="1"/>
    <x v="0"/>
    <s v="Mobile"/>
    <s v="Paid Search"/>
    <s v="Basic"/>
    <n v="1"/>
    <n v="0"/>
    <n v="0"/>
    <n v="0"/>
    <n v="0"/>
    <n v="1"/>
    <n v="0"/>
    <n v="0"/>
    <n v="64.8"/>
  </r>
  <r>
    <x v="1224"/>
    <d v="2025-01-31T00:00:00"/>
    <x v="1"/>
    <x v="1"/>
    <s v="Mobile"/>
    <s v="Social"/>
    <s v="Free"/>
    <n v="0"/>
    <n v="0"/>
    <n v="0"/>
    <n v="0"/>
    <n v="0"/>
    <n v="0"/>
    <n v="0"/>
    <n v="0"/>
    <n v="63.3"/>
  </r>
  <r>
    <x v="1225"/>
    <d v="2025-02-14T00:00:00"/>
    <x v="1"/>
    <x v="0"/>
    <s v="Tablet"/>
    <s v="Paid Search"/>
    <s v="Basic"/>
    <n v="1"/>
    <n v="1"/>
    <n v="1"/>
    <n v="1"/>
    <n v="1074.1600000000001"/>
    <n v="0"/>
    <n v="0"/>
    <n v="8"/>
    <n v="83.7"/>
  </r>
  <r>
    <x v="1226"/>
    <d v="2025-02-12T00:00:00"/>
    <x v="1"/>
    <x v="3"/>
    <s v="Desktop"/>
    <s v="Social"/>
    <s v="Basic"/>
    <n v="0"/>
    <n v="0"/>
    <n v="0"/>
    <n v="0"/>
    <n v="0"/>
    <n v="0"/>
    <n v="0"/>
    <n v="0"/>
    <n v="88.7"/>
  </r>
  <r>
    <x v="1227"/>
    <d v="2025-03-23T00:00:00"/>
    <x v="1"/>
    <x v="2"/>
    <s v="Unknown"/>
    <s v="Paid Search"/>
    <s v="Free"/>
    <n v="1"/>
    <n v="0"/>
    <n v="0"/>
    <n v="0"/>
    <n v="0"/>
    <n v="1"/>
    <n v="0"/>
    <n v="0"/>
    <n v="61.5"/>
  </r>
  <r>
    <x v="1228"/>
    <d v="2025-03-18T00:00:00"/>
    <x v="1"/>
    <x v="1"/>
    <s v="Mobile"/>
    <s v="Paid Search"/>
    <s v="Free"/>
    <n v="0"/>
    <n v="0"/>
    <n v="0"/>
    <n v="0"/>
    <n v="0"/>
    <n v="0"/>
    <n v="0"/>
    <n v="0"/>
    <n v="45.3"/>
  </r>
  <r>
    <x v="1229"/>
    <d v="2025-05-17T00:00:00"/>
    <x v="1"/>
    <x v="0"/>
    <s v="Mobile"/>
    <s v="Social"/>
    <s v="Free"/>
    <n v="1"/>
    <n v="0"/>
    <n v="0"/>
    <n v="0"/>
    <n v="0"/>
    <n v="0"/>
    <n v="0"/>
    <n v="0"/>
    <n v="37.299999999999997"/>
  </r>
  <r>
    <x v="1230"/>
    <d v="2025-03-26T00:00:00"/>
    <x v="1"/>
    <x v="1"/>
    <s v="Desktop"/>
    <s v="Social"/>
    <s v="Premium"/>
    <n v="1"/>
    <n v="0"/>
    <n v="0"/>
    <n v="0"/>
    <n v="0"/>
    <n v="1"/>
    <n v="0"/>
    <n v="0"/>
    <n v="76.099999999999994"/>
  </r>
  <r>
    <x v="1231"/>
    <d v="2025-03-30T00:00:00"/>
    <x v="1"/>
    <x v="2"/>
    <s v="Mobile"/>
    <s v="Organic"/>
    <s v="Free"/>
    <n v="1"/>
    <n v="1"/>
    <n v="1"/>
    <n v="0"/>
    <n v="0"/>
    <n v="1"/>
    <n v="0"/>
    <n v="0"/>
    <n v="72.5"/>
  </r>
  <r>
    <x v="1232"/>
    <d v="2025-02-25T00:00:00"/>
    <x v="1"/>
    <x v="2"/>
    <s v="Desktop"/>
    <s v="Organic"/>
    <s v="Free"/>
    <n v="1"/>
    <n v="0"/>
    <n v="0"/>
    <n v="0"/>
    <n v="0"/>
    <n v="0"/>
    <n v="0"/>
    <n v="0"/>
    <n v="62.3"/>
  </r>
  <r>
    <x v="1233"/>
    <d v="2025-03-01T00:00:00"/>
    <x v="1"/>
    <x v="2"/>
    <s v="Desktop"/>
    <s v="Social"/>
    <s v="Free"/>
    <n v="0"/>
    <n v="0"/>
    <n v="0"/>
    <n v="0"/>
    <n v="0"/>
    <n v="0"/>
    <n v="0"/>
    <n v="0"/>
    <n v="62.7"/>
  </r>
  <r>
    <x v="1234"/>
    <d v="2025-05-27T00:00:00"/>
    <x v="1"/>
    <x v="0"/>
    <s v="Mobile"/>
    <s v="Paid Search"/>
    <s v="Basic"/>
    <n v="0"/>
    <n v="0"/>
    <n v="0"/>
    <n v="0"/>
    <n v="0"/>
    <n v="0"/>
    <n v="0"/>
    <n v="0"/>
    <n v="82.4"/>
  </r>
  <r>
    <x v="1235"/>
    <d v="2025-02-05T00:00:00"/>
    <x v="1"/>
    <x v="1"/>
    <s v="Mobile"/>
    <s v="Unknown"/>
    <s v="Premium"/>
    <n v="1"/>
    <n v="0"/>
    <n v="0"/>
    <n v="0"/>
    <n v="0"/>
    <n v="0"/>
    <n v="0"/>
    <n v="0"/>
    <n v="78.900000000000006"/>
  </r>
  <r>
    <x v="1236"/>
    <d v="2025-01-25T00:00:00"/>
    <x v="1"/>
    <x v="1"/>
    <s v="Desktop"/>
    <s v="Email"/>
    <s v="Free"/>
    <n v="1"/>
    <n v="1"/>
    <n v="1"/>
    <n v="1"/>
    <n v="618.91"/>
    <n v="0"/>
    <n v="0"/>
    <n v="4"/>
    <n v="67.8"/>
  </r>
  <r>
    <x v="1237"/>
    <d v="2025-04-10T00:00:00"/>
    <x v="1"/>
    <x v="2"/>
    <s v="Mobile"/>
    <s v="Organic"/>
    <s v="Premium"/>
    <n v="1"/>
    <n v="0"/>
    <n v="0"/>
    <n v="0"/>
    <n v="0"/>
    <n v="0"/>
    <n v="0"/>
    <n v="0"/>
    <n v="68.8"/>
  </r>
  <r>
    <x v="1238"/>
    <d v="2025-01-10T00:00:00"/>
    <x v="1"/>
    <x v="2"/>
    <s v="Mobile"/>
    <s v="Organic"/>
    <s v="Premium"/>
    <n v="1"/>
    <n v="0"/>
    <n v="0"/>
    <n v="0"/>
    <n v="0"/>
    <n v="0"/>
    <n v="0"/>
    <n v="0"/>
    <n v="67.7"/>
  </r>
  <r>
    <x v="1239"/>
    <d v="2025-02-23T00:00:00"/>
    <x v="1"/>
    <x v="2"/>
    <s v="Mobile"/>
    <s v="Unknown"/>
    <s v="Free"/>
    <n v="0"/>
    <n v="0"/>
    <n v="0"/>
    <n v="0"/>
    <n v="0"/>
    <n v="0"/>
    <n v="0"/>
    <n v="0"/>
    <n v="88"/>
  </r>
  <r>
    <x v="1240"/>
    <d v="2025-05-23T00:00:00"/>
    <x v="1"/>
    <x v="1"/>
    <s v="Desktop"/>
    <s v="Organic"/>
    <s v="Basic"/>
    <n v="1"/>
    <n v="1"/>
    <n v="0"/>
    <n v="0"/>
    <n v="0"/>
    <n v="0"/>
    <n v="0"/>
    <n v="0"/>
    <n v="80.099999999999994"/>
  </r>
  <r>
    <x v="1241"/>
    <d v="2025-03-08T00:00:00"/>
    <x v="1"/>
    <x v="0"/>
    <s v="Tablet"/>
    <s v="Email"/>
    <s v="Basic"/>
    <n v="0"/>
    <n v="0"/>
    <n v="0"/>
    <n v="0"/>
    <n v="0"/>
    <n v="1"/>
    <n v="0"/>
    <n v="0"/>
    <n v="48.2"/>
  </r>
  <r>
    <x v="1242"/>
    <d v="2025-05-21T00:00:00"/>
    <x v="1"/>
    <x v="2"/>
    <s v="Mobile"/>
    <s v="Organic"/>
    <s v="Basic"/>
    <n v="1"/>
    <n v="0"/>
    <n v="0"/>
    <n v="0"/>
    <n v="0"/>
    <n v="0"/>
    <n v="0"/>
    <n v="0"/>
    <n v="52.7"/>
  </r>
  <r>
    <x v="1243"/>
    <d v="2025-04-22T00:00:00"/>
    <x v="1"/>
    <x v="0"/>
    <s v="Mobile"/>
    <s v="Email"/>
    <s v="Basic"/>
    <n v="1"/>
    <n v="1"/>
    <n v="0"/>
    <n v="0"/>
    <n v="0"/>
    <n v="0"/>
    <n v="0"/>
    <n v="0"/>
    <n v="59.9"/>
  </r>
  <r>
    <x v="1244"/>
    <d v="2025-04-16T00:00:00"/>
    <x v="1"/>
    <x v="0"/>
    <s v="Mobile"/>
    <s v="Email"/>
    <s v="Premium"/>
    <n v="1"/>
    <n v="0"/>
    <n v="0"/>
    <n v="0"/>
    <n v="0"/>
    <n v="0"/>
    <n v="0"/>
    <n v="0"/>
    <n v="49.5"/>
  </r>
  <r>
    <x v="1245"/>
    <d v="2025-05-08T00:00:00"/>
    <x v="1"/>
    <x v="0"/>
    <s v="Tablet"/>
    <s v="Organic"/>
    <s v="Free"/>
    <n v="1"/>
    <n v="0"/>
    <n v="0"/>
    <n v="0"/>
    <n v="0"/>
    <n v="0"/>
    <n v="0"/>
    <n v="0"/>
    <n v="41.5"/>
  </r>
  <r>
    <x v="1246"/>
    <d v="2025-05-22T00:00:00"/>
    <x v="1"/>
    <x v="0"/>
    <s v="Mobile"/>
    <s v="Paid Search"/>
    <s v="Basic"/>
    <n v="1"/>
    <n v="0"/>
    <n v="0"/>
    <n v="0"/>
    <n v="0"/>
    <n v="0"/>
    <n v="0"/>
    <n v="0"/>
    <n v="71.2"/>
  </r>
  <r>
    <x v="1247"/>
    <d v="2025-03-21T00:00:00"/>
    <x v="1"/>
    <x v="0"/>
    <s v="Mobile"/>
    <s v="Referral"/>
    <s v="Basic"/>
    <n v="1"/>
    <n v="1"/>
    <n v="1"/>
    <n v="0"/>
    <n v="0"/>
    <n v="0"/>
    <n v="0"/>
    <n v="0"/>
    <n v="65.8"/>
  </r>
  <r>
    <x v="1248"/>
    <d v="2025-03-22T00:00:00"/>
    <x v="1"/>
    <x v="2"/>
    <s v="Mobile"/>
    <s v="Organic"/>
    <s v="Basic"/>
    <n v="1"/>
    <n v="0"/>
    <n v="0"/>
    <n v="0"/>
    <n v="0"/>
    <n v="1"/>
    <n v="0"/>
    <n v="0"/>
    <n v="55.1"/>
  </r>
  <r>
    <x v="1249"/>
    <d v="2025-01-10T00:00:00"/>
    <x v="1"/>
    <x v="1"/>
    <s v="Desktop"/>
    <s v="Social"/>
    <s v="Free"/>
    <n v="1"/>
    <n v="0"/>
    <n v="0"/>
    <n v="0"/>
    <n v="0"/>
    <n v="0"/>
    <n v="0"/>
    <n v="0"/>
    <n v="54.6"/>
  </r>
  <r>
    <x v="1250"/>
    <d v="2025-02-01T00:00:00"/>
    <x v="1"/>
    <x v="2"/>
    <s v="Mobile"/>
    <s v="Organic"/>
    <s v="Basic"/>
    <n v="1"/>
    <n v="1"/>
    <n v="1"/>
    <n v="1"/>
    <n v="923.67"/>
    <n v="0"/>
    <n v="0"/>
    <n v="4"/>
    <n v="81.900000000000006"/>
  </r>
  <r>
    <x v="1251"/>
    <d v="2025-03-31T00:00:00"/>
    <x v="1"/>
    <x v="3"/>
    <s v="Mobile"/>
    <s v="Paid Search"/>
    <s v="Basic"/>
    <n v="1"/>
    <n v="1"/>
    <n v="0"/>
    <n v="0"/>
    <n v="0"/>
    <n v="3"/>
    <n v="0"/>
    <n v="0"/>
    <n v="63.2"/>
  </r>
  <r>
    <x v="1252"/>
    <d v="2025-04-25T00:00:00"/>
    <x v="1"/>
    <x v="0"/>
    <s v="Mobile"/>
    <s v="Paid Search"/>
    <s v="Free"/>
    <n v="1"/>
    <n v="0"/>
    <n v="0"/>
    <n v="0"/>
    <n v="0"/>
    <n v="0"/>
    <n v="0"/>
    <n v="0"/>
    <n v="55.4"/>
  </r>
  <r>
    <x v="1253"/>
    <d v="2025-05-02T00:00:00"/>
    <x v="1"/>
    <x v="1"/>
    <s v="Mobile"/>
    <s v="Social"/>
    <s v="Basic"/>
    <n v="0"/>
    <n v="0"/>
    <n v="0"/>
    <n v="0"/>
    <n v="0"/>
    <n v="0"/>
    <n v="0"/>
    <n v="0"/>
    <n v="87.5"/>
  </r>
  <r>
    <x v="1254"/>
    <d v="2025-03-08T00:00:00"/>
    <x v="1"/>
    <x v="3"/>
    <s v="Desktop"/>
    <s v="Social"/>
    <s v="Basic"/>
    <n v="1"/>
    <n v="0"/>
    <n v="0"/>
    <n v="0"/>
    <n v="0"/>
    <n v="0"/>
    <n v="0"/>
    <n v="0"/>
    <n v="48.5"/>
  </r>
  <r>
    <x v="1255"/>
    <d v="2025-01-27T00:00:00"/>
    <x v="1"/>
    <x v="2"/>
    <s v="Desktop"/>
    <s v="Unknown"/>
    <s v="Free"/>
    <n v="1"/>
    <n v="1"/>
    <n v="1"/>
    <n v="1"/>
    <n v="420.27"/>
    <n v="0"/>
    <n v="0"/>
    <n v="6"/>
    <n v="58.4"/>
  </r>
  <r>
    <x v="1256"/>
    <d v="2025-04-27T00:00:00"/>
    <x v="1"/>
    <x v="1"/>
    <s v="Mobile"/>
    <s v="Paid Search"/>
    <s v="Free"/>
    <n v="0"/>
    <n v="0"/>
    <n v="0"/>
    <n v="0"/>
    <n v="0"/>
    <n v="0"/>
    <n v="0"/>
    <n v="0"/>
    <n v="59.5"/>
  </r>
  <r>
    <x v="1257"/>
    <d v="2025-01-16T00:00:00"/>
    <x v="1"/>
    <x v="1"/>
    <s v="Desktop"/>
    <s v="Paid Search"/>
    <s v="Basic"/>
    <n v="1"/>
    <n v="0"/>
    <n v="0"/>
    <n v="0"/>
    <n v="0"/>
    <n v="0"/>
    <n v="0"/>
    <n v="0"/>
    <n v="93.2"/>
  </r>
  <r>
    <x v="1258"/>
    <d v="2025-01-18T00:00:00"/>
    <x v="1"/>
    <x v="1"/>
    <s v="Desktop"/>
    <s v="Paid Search"/>
    <s v="Basic"/>
    <n v="1"/>
    <n v="0"/>
    <n v="0"/>
    <n v="0"/>
    <n v="0"/>
    <n v="0"/>
    <n v="0"/>
    <n v="0"/>
    <n v="59"/>
  </r>
  <r>
    <x v="1259"/>
    <d v="2025-03-21T00:00:00"/>
    <x v="1"/>
    <x v="0"/>
    <s v="Mobile"/>
    <s v="Organic"/>
    <s v="Free"/>
    <n v="1"/>
    <n v="0"/>
    <n v="0"/>
    <n v="0"/>
    <n v="0"/>
    <n v="0"/>
    <n v="0"/>
    <n v="0"/>
    <n v="37"/>
  </r>
  <r>
    <x v="1260"/>
    <d v="2025-04-02T00:00:00"/>
    <x v="1"/>
    <x v="0"/>
    <s v="Desktop"/>
    <s v="Paid Search"/>
    <s v="Free"/>
    <n v="1"/>
    <n v="0"/>
    <n v="0"/>
    <n v="0"/>
    <n v="0"/>
    <n v="0"/>
    <n v="0"/>
    <n v="0"/>
    <n v="47.5"/>
  </r>
  <r>
    <x v="1261"/>
    <d v="2025-02-16T00:00:00"/>
    <x v="1"/>
    <x v="1"/>
    <s v="Desktop"/>
    <s v="Organic"/>
    <s v="Free"/>
    <n v="1"/>
    <n v="1"/>
    <n v="1"/>
    <n v="0"/>
    <n v="0"/>
    <n v="0"/>
    <n v="0"/>
    <n v="0"/>
    <n v="78.7"/>
  </r>
  <r>
    <x v="1262"/>
    <d v="2025-02-18T00:00:00"/>
    <x v="1"/>
    <x v="0"/>
    <s v="Mobile"/>
    <s v="Social"/>
    <s v="Free"/>
    <n v="1"/>
    <n v="0"/>
    <n v="0"/>
    <n v="0"/>
    <n v="0"/>
    <n v="0"/>
    <n v="0"/>
    <n v="0"/>
    <n v="49.6"/>
  </r>
  <r>
    <x v="1263"/>
    <d v="2025-01-09T00:00:00"/>
    <x v="1"/>
    <x v="2"/>
    <s v="Mobile"/>
    <s v="Organic"/>
    <s v="Free"/>
    <n v="1"/>
    <n v="0"/>
    <n v="0"/>
    <n v="0"/>
    <n v="0"/>
    <n v="0"/>
    <n v="0"/>
    <n v="0"/>
    <n v="58"/>
  </r>
  <r>
    <x v="1264"/>
    <d v="2025-02-18T00:00:00"/>
    <x v="1"/>
    <x v="0"/>
    <s v="Desktop"/>
    <s v="Paid Search"/>
    <s v="Free"/>
    <n v="1"/>
    <n v="0"/>
    <n v="0"/>
    <n v="0"/>
    <n v="0"/>
    <n v="1"/>
    <n v="0"/>
    <n v="0"/>
    <n v="54.4"/>
  </r>
  <r>
    <x v="1265"/>
    <d v="2025-01-10T00:00:00"/>
    <x v="1"/>
    <x v="2"/>
    <s v="Mobile"/>
    <s v="Referral"/>
    <s v="Free"/>
    <n v="0"/>
    <n v="0"/>
    <n v="0"/>
    <n v="0"/>
    <n v="0"/>
    <n v="0"/>
    <n v="0"/>
    <n v="0"/>
    <n v="33.700000000000003"/>
  </r>
  <r>
    <x v="1266"/>
    <d v="2025-03-08T00:00:00"/>
    <x v="1"/>
    <x v="1"/>
    <s v="Mobile"/>
    <s v="Email"/>
    <s v="Free"/>
    <n v="1"/>
    <n v="0"/>
    <n v="0"/>
    <n v="0"/>
    <n v="0"/>
    <n v="0"/>
    <n v="0"/>
    <n v="0"/>
    <n v="72.7"/>
  </r>
  <r>
    <x v="1267"/>
    <d v="2025-04-16T00:00:00"/>
    <x v="1"/>
    <x v="2"/>
    <s v="Desktop"/>
    <s v="Paid Search"/>
    <s v="Basic"/>
    <n v="0"/>
    <n v="0"/>
    <n v="0"/>
    <n v="0"/>
    <n v="0"/>
    <n v="0"/>
    <n v="0"/>
    <n v="0"/>
    <n v="64.7"/>
  </r>
  <r>
    <x v="1268"/>
    <d v="2025-02-19T00:00:00"/>
    <x v="1"/>
    <x v="1"/>
    <s v="Desktop"/>
    <s v="Paid Search"/>
    <s v="Premium"/>
    <n v="0"/>
    <n v="0"/>
    <n v="0"/>
    <n v="0"/>
    <n v="0"/>
    <n v="1"/>
    <n v="0"/>
    <n v="0"/>
    <n v="48.6"/>
  </r>
  <r>
    <x v="1269"/>
    <d v="2025-03-16T00:00:00"/>
    <x v="1"/>
    <x v="2"/>
    <s v="Desktop"/>
    <s v="Social"/>
    <s v="Free"/>
    <n v="1"/>
    <n v="1"/>
    <n v="0"/>
    <n v="0"/>
    <n v="0"/>
    <n v="0"/>
    <n v="0"/>
    <n v="0"/>
    <n v="66.2"/>
  </r>
  <r>
    <x v="1270"/>
    <d v="2025-02-03T00:00:00"/>
    <x v="1"/>
    <x v="1"/>
    <s v="Unknown"/>
    <s v="Referral"/>
    <s v="Basic"/>
    <n v="1"/>
    <n v="0"/>
    <n v="0"/>
    <n v="0"/>
    <n v="0"/>
    <n v="1"/>
    <n v="0"/>
    <n v="0"/>
    <n v="60.7"/>
  </r>
  <r>
    <x v="1271"/>
    <d v="2025-03-12T00:00:00"/>
    <x v="1"/>
    <x v="1"/>
    <s v="Mobile"/>
    <s v="Paid Search"/>
    <s v="Basic"/>
    <n v="1"/>
    <n v="0"/>
    <n v="0"/>
    <n v="0"/>
    <n v="0"/>
    <n v="0"/>
    <n v="0"/>
    <n v="0"/>
    <n v="36.5"/>
  </r>
  <r>
    <x v="1272"/>
    <d v="2025-05-09T00:00:00"/>
    <x v="1"/>
    <x v="1"/>
    <s v="Mobile"/>
    <s v="Social"/>
    <s v="Free"/>
    <n v="1"/>
    <n v="1"/>
    <n v="1"/>
    <n v="0"/>
    <n v="0"/>
    <n v="3"/>
    <n v="0"/>
    <n v="0"/>
    <n v="69.7"/>
  </r>
  <r>
    <x v="1273"/>
    <d v="2025-01-19T00:00:00"/>
    <x v="1"/>
    <x v="3"/>
    <s v="Desktop"/>
    <s v="Social"/>
    <s v="Premium"/>
    <n v="1"/>
    <n v="0"/>
    <n v="0"/>
    <n v="0"/>
    <n v="0"/>
    <n v="0"/>
    <n v="0"/>
    <n v="0"/>
    <n v="81.8"/>
  </r>
  <r>
    <x v="1274"/>
    <d v="2025-01-24T00:00:00"/>
    <x v="1"/>
    <x v="1"/>
    <s v="Mobile"/>
    <s v="Referral"/>
    <s v="Free"/>
    <n v="1"/>
    <n v="1"/>
    <n v="1"/>
    <n v="0"/>
    <n v="0"/>
    <n v="1"/>
    <n v="0"/>
    <n v="0"/>
    <n v="78.3"/>
  </r>
  <r>
    <x v="1275"/>
    <d v="2025-03-03T00:00:00"/>
    <x v="1"/>
    <x v="2"/>
    <s v="Mobile"/>
    <s v="Referral"/>
    <s v="Free"/>
    <n v="1"/>
    <n v="1"/>
    <n v="0"/>
    <n v="0"/>
    <n v="0"/>
    <n v="0"/>
    <n v="0"/>
    <n v="0"/>
    <n v="79.400000000000006"/>
  </r>
  <r>
    <x v="1276"/>
    <d v="2025-05-27T00:00:00"/>
    <x v="1"/>
    <x v="0"/>
    <s v="Desktop"/>
    <s v="Referral"/>
    <s v="Free"/>
    <n v="1"/>
    <n v="1"/>
    <n v="1"/>
    <n v="0"/>
    <n v="0"/>
    <n v="0"/>
    <n v="0"/>
    <n v="0"/>
    <n v="54.9"/>
  </r>
  <r>
    <x v="1277"/>
    <d v="2025-04-23T00:00:00"/>
    <x v="1"/>
    <x v="1"/>
    <s v="Desktop"/>
    <s v="Organic"/>
    <s v="Basic"/>
    <n v="1"/>
    <n v="0"/>
    <n v="0"/>
    <n v="0"/>
    <n v="0"/>
    <n v="0"/>
    <n v="0"/>
    <n v="0"/>
    <n v="54.9"/>
  </r>
  <r>
    <x v="1278"/>
    <d v="2025-02-10T00:00:00"/>
    <x v="1"/>
    <x v="2"/>
    <s v="Desktop"/>
    <s v="Social"/>
    <s v="Free"/>
    <n v="0"/>
    <n v="0"/>
    <n v="0"/>
    <n v="0"/>
    <n v="0"/>
    <n v="0"/>
    <n v="0"/>
    <n v="0"/>
    <n v="28.7"/>
  </r>
  <r>
    <x v="1279"/>
    <d v="2025-02-11T00:00:00"/>
    <x v="1"/>
    <x v="0"/>
    <s v="Mobile"/>
    <s v="Organic"/>
    <s v="Free"/>
    <n v="0"/>
    <n v="0"/>
    <n v="0"/>
    <n v="0"/>
    <n v="0"/>
    <n v="0"/>
    <n v="0"/>
    <n v="0"/>
    <n v="68.8"/>
  </r>
  <r>
    <x v="1280"/>
    <d v="2025-01-21T00:00:00"/>
    <x v="1"/>
    <x v="2"/>
    <s v="Desktop"/>
    <s v="Paid Search"/>
    <s v="Free"/>
    <n v="1"/>
    <n v="1"/>
    <n v="1"/>
    <n v="0"/>
    <n v="0"/>
    <n v="0"/>
    <n v="0"/>
    <n v="0"/>
    <n v="43.5"/>
  </r>
  <r>
    <x v="1281"/>
    <d v="2025-02-02T00:00:00"/>
    <x v="1"/>
    <x v="1"/>
    <s v="Desktop"/>
    <s v="Social"/>
    <s v="Free"/>
    <n v="1"/>
    <n v="1"/>
    <n v="0"/>
    <n v="0"/>
    <n v="0"/>
    <n v="0"/>
    <n v="0"/>
    <n v="0"/>
    <n v="62.6"/>
  </r>
  <r>
    <x v="1282"/>
    <d v="2025-02-02T00:00:00"/>
    <x v="1"/>
    <x v="1"/>
    <s v="Mobile"/>
    <s v="Organic"/>
    <s v="Free"/>
    <n v="0"/>
    <n v="0"/>
    <n v="0"/>
    <n v="0"/>
    <n v="0"/>
    <n v="1"/>
    <n v="0"/>
    <n v="0"/>
    <n v="54.1"/>
  </r>
  <r>
    <x v="1283"/>
    <d v="2025-02-26T00:00:00"/>
    <x v="1"/>
    <x v="1"/>
    <s v="Tablet"/>
    <s v="Social"/>
    <s v="Free"/>
    <n v="1"/>
    <n v="1"/>
    <n v="1"/>
    <n v="0"/>
    <n v="0"/>
    <n v="0"/>
    <n v="0"/>
    <n v="0"/>
    <n v="80.099999999999994"/>
  </r>
  <r>
    <x v="1284"/>
    <d v="2025-04-22T00:00:00"/>
    <x v="1"/>
    <x v="0"/>
    <s v="Mobile"/>
    <s v="Social"/>
    <s v="Premium"/>
    <n v="1"/>
    <n v="0"/>
    <n v="0"/>
    <n v="0"/>
    <n v="0"/>
    <n v="0"/>
    <n v="0"/>
    <n v="0"/>
    <n v="69.5"/>
  </r>
  <r>
    <x v="1285"/>
    <d v="2025-03-11T00:00:00"/>
    <x v="1"/>
    <x v="0"/>
    <s v="Desktop"/>
    <s v="Organic"/>
    <s v="Basic"/>
    <n v="0"/>
    <n v="0"/>
    <n v="0"/>
    <n v="0"/>
    <n v="0"/>
    <n v="2"/>
    <n v="0"/>
    <n v="0"/>
    <n v="46.6"/>
  </r>
  <r>
    <x v="1286"/>
    <d v="2025-05-08T00:00:00"/>
    <x v="1"/>
    <x v="3"/>
    <s v="Mobile"/>
    <s v="Organic"/>
    <s v="Premium"/>
    <n v="1"/>
    <n v="0"/>
    <n v="0"/>
    <n v="0"/>
    <n v="0"/>
    <n v="1"/>
    <n v="0"/>
    <n v="0"/>
    <n v="54.9"/>
  </r>
  <r>
    <x v="1287"/>
    <d v="2025-03-10T00:00:00"/>
    <x v="1"/>
    <x v="2"/>
    <s v="Desktop"/>
    <s v="Organic"/>
    <s v="Free"/>
    <n v="0"/>
    <n v="0"/>
    <n v="0"/>
    <n v="0"/>
    <n v="0"/>
    <n v="0"/>
    <n v="0"/>
    <n v="0"/>
    <n v="100"/>
  </r>
  <r>
    <x v="1288"/>
    <d v="2025-04-16T00:00:00"/>
    <x v="1"/>
    <x v="2"/>
    <s v="Desktop"/>
    <s v="Paid Search"/>
    <s v="Free"/>
    <n v="1"/>
    <n v="1"/>
    <n v="1"/>
    <n v="0"/>
    <n v="0"/>
    <n v="1"/>
    <n v="0"/>
    <n v="0"/>
    <n v="80.5"/>
  </r>
  <r>
    <x v="1289"/>
    <d v="2025-03-01T00:00:00"/>
    <x v="1"/>
    <x v="1"/>
    <s v="Tablet"/>
    <s v="Organic"/>
    <s v="Basic"/>
    <n v="1"/>
    <n v="0"/>
    <n v="0"/>
    <n v="0"/>
    <n v="0"/>
    <n v="0"/>
    <n v="0"/>
    <n v="0"/>
    <n v="51.2"/>
  </r>
  <r>
    <x v="1290"/>
    <d v="2025-01-18T00:00:00"/>
    <x v="1"/>
    <x v="3"/>
    <s v="Desktop"/>
    <s v="Organic"/>
    <s v="Premium"/>
    <n v="1"/>
    <n v="0"/>
    <n v="0"/>
    <n v="0"/>
    <n v="0"/>
    <n v="0"/>
    <n v="0"/>
    <n v="0"/>
    <n v="42.5"/>
  </r>
  <r>
    <x v="1291"/>
    <d v="2025-03-30T00:00:00"/>
    <x v="1"/>
    <x v="0"/>
    <s v="Mobile"/>
    <s v="Paid Search"/>
    <s v="Free"/>
    <n v="0"/>
    <n v="0"/>
    <n v="0"/>
    <n v="0"/>
    <n v="0"/>
    <n v="0"/>
    <n v="0"/>
    <n v="0"/>
    <n v="72.5"/>
  </r>
  <r>
    <x v="1292"/>
    <d v="2025-05-26T00:00:00"/>
    <x v="1"/>
    <x v="1"/>
    <s v="Mobile"/>
    <s v="Social"/>
    <s v="Premium"/>
    <n v="0"/>
    <n v="0"/>
    <n v="0"/>
    <n v="0"/>
    <n v="0"/>
    <n v="0"/>
    <n v="0"/>
    <n v="0"/>
    <n v="74.400000000000006"/>
  </r>
  <r>
    <x v="1293"/>
    <d v="2025-03-19T00:00:00"/>
    <x v="1"/>
    <x v="2"/>
    <s v="Desktop"/>
    <s v="Social"/>
    <s v="Free"/>
    <n v="0"/>
    <n v="0"/>
    <n v="0"/>
    <n v="0"/>
    <n v="0"/>
    <n v="0"/>
    <n v="0"/>
    <n v="0"/>
    <n v="78.400000000000006"/>
  </r>
  <r>
    <x v="1294"/>
    <d v="2025-03-28T00:00:00"/>
    <x v="1"/>
    <x v="0"/>
    <s v="Desktop"/>
    <s v="Referral"/>
    <s v="Free"/>
    <n v="1"/>
    <n v="0"/>
    <n v="0"/>
    <n v="0"/>
    <n v="0"/>
    <n v="0"/>
    <n v="0"/>
    <n v="0"/>
    <n v="71.5"/>
  </r>
  <r>
    <x v="1295"/>
    <d v="2025-05-28T00:00:00"/>
    <x v="1"/>
    <x v="3"/>
    <s v="Desktop"/>
    <s v="Social"/>
    <s v="Free"/>
    <n v="1"/>
    <n v="0"/>
    <n v="0"/>
    <n v="0"/>
    <n v="0"/>
    <n v="0"/>
    <n v="0"/>
    <n v="0"/>
    <n v="66.7"/>
  </r>
  <r>
    <x v="1296"/>
    <d v="2025-05-31T00:00:00"/>
    <x v="1"/>
    <x v="3"/>
    <s v="Desktop"/>
    <s v="Referral"/>
    <s v="Premium"/>
    <n v="1"/>
    <n v="1"/>
    <n v="1"/>
    <n v="1"/>
    <n v="1496.09"/>
    <n v="0"/>
    <n v="0"/>
    <n v="7"/>
    <n v="60.4"/>
  </r>
  <r>
    <x v="1297"/>
    <d v="2025-05-10T00:00:00"/>
    <x v="1"/>
    <x v="0"/>
    <s v="Mobile"/>
    <s v="Referral"/>
    <s v="Free"/>
    <n v="0"/>
    <n v="0"/>
    <n v="0"/>
    <n v="0"/>
    <n v="0"/>
    <n v="1"/>
    <n v="0"/>
    <n v="0"/>
    <n v="72.900000000000006"/>
  </r>
  <r>
    <x v="1298"/>
    <d v="2025-05-17T00:00:00"/>
    <x v="1"/>
    <x v="1"/>
    <s v="Mobile"/>
    <s v="Organic"/>
    <s v="Free"/>
    <n v="0"/>
    <n v="0"/>
    <n v="0"/>
    <n v="0"/>
    <n v="0"/>
    <n v="3"/>
    <n v="0"/>
    <n v="0"/>
    <n v="0"/>
  </r>
  <r>
    <x v="1299"/>
    <d v="2025-01-18T00:00:00"/>
    <x v="1"/>
    <x v="3"/>
    <s v="Mobile"/>
    <s v="Organic"/>
    <s v="Premium"/>
    <n v="1"/>
    <n v="0"/>
    <n v="0"/>
    <n v="0"/>
    <n v="0"/>
    <n v="0"/>
    <n v="0"/>
    <n v="0"/>
    <n v="55.2"/>
  </r>
  <r>
    <x v="1300"/>
    <d v="2025-05-04T00:00:00"/>
    <x v="1"/>
    <x v="1"/>
    <s v="Mobile"/>
    <s v="Social"/>
    <s v="Free"/>
    <n v="1"/>
    <n v="0"/>
    <n v="0"/>
    <n v="0"/>
    <n v="0"/>
    <n v="0"/>
    <n v="0"/>
    <n v="0"/>
    <n v="67.8"/>
  </r>
  <r>
    <x v="1301"/>
    <d v="2025-03-25T00:00:00"/>
    <x v="1"/>
    <x v="0"/>
    <s v="Mobile"/>
    <s v="Organic"/>
    <s v="Free"/>
    <n v="1"/>
    <n v="0"/>
    <n v="0"/>
    <n v="0"/>
    <n v="0"/>
    <n v="2"/>
    <n v="0"/>
    <n v="0"/>
    <n v="70"/>
  </r>
  <r>
    <x v="1302"/>
    <d v="2025-02-27T00:00:00"/>
    <x v="1"/>
    <x v="0"/>
    <s v="Mobile"/>
    <s v="Social"/>
    <s v="Basic"/>
    <n v="1"/>
    <n v="1"/>
    <n v="1"/>
    <n v="0"/>
    <n v="0"/>
    <n v="0"/>
    <n v="0"/>
    <n v="0"/>
    <n v="51.1"/>
  </r>
  <r>
    <x v="1303"/>
    <d v="2025-01-14T00:00:00"/>
    <x v="1"/>
    <x v="1"/>
    <s v="Mobile"/>
    <s v="Paid Search"/>
    <s v="Basic"/>
    <n v="1"/>
    <n v="1"/>
    <n v="1"/>
    <n v="0"/>
    <n v="0"/>
    <n v="0"/>
    <n v="0"/>
    <n v="0"/>
    <n v="57"/>
  </r>
  <r>
    <x v="1304"/>
    <d v="2025-04-11T00:00:00"/>
    <x v="1"/>
    <x v="2"/>
    <s v="Mobile"/>
    <s v="Social"/>
    <s v="Free"/>
    <n v="0"/>
    <n v="0"/>
    <n v="0"/>
    <n v="0"/>
    <n v="0"/>
    <n v="1"/>
    <n v="0"/>
    <n v="0"/>
    <n v="47.1"/>
  </r>
  <r>
    <x v="1305"/>
    <d v="2025-03-26T00:00:00"/>
    <x v="1"/>
    <x v="2"/>
    <s v="Desktop"/>
    <s v="Social"/>
    <s v="Basic"/>
    <n v="0"/>
    <n v="0"/>
    <n v="0"/>
    <n v="0"/>
    <n v="0"/>
    <n v="0"/>
    <n v="0"/>
    <n v="0"/>
    <n v="30.7"/>
  </r>
  <r>
    <x v="1306"/>
    <d v="2025-02-12T00:00:00"/>
    <x v="1"/>
    <x v="1"/>
    <s v="Desktop"/>
    <s v="Social"/>
    <s v="Free"/>
    <n v="1"/>
    <n v="0"/>
    <n v="0"/>
    <n v="0"/>
    <n v="0"/>
    <n v="0"/>
    <n v="0"/>
    <n v="0"/>
    <n v="57.3"/>
  </r>
  <r>
    <x v="1307"/>
    <d v="2025-02-18T00:00:00"/>
    <x v="1"/>
    <x v="1"/>
    <s v="Tablet"/>
    <s v="Paid Search"/>
    <s v="Basic"/>
    <n v="1"/>
    <n v="0"/>
    <n v="0"/>
    <n v="0"/>
    <n v="0"/>
    <n v="0"/>
    <n v="0"/>
    <n v="0"/>
    <n v="70"/>
  </r>
  <r>
    <x v="1308"/>
    <d v="2025-05-25T00:00:00"/>
    <x v="1"/>
    <x v="2"/>
    <s v="Desktop"/>
    <s v="Social"/>
    <s v="Free"/>
    <n v="1"/>
    <n v="1"/>
    <n v="1"/>
    <n v="0"/>
    <n v="0"/>
    <n v="0"/>
    <n v="0"/>
    <n v="0"/>
    <n v="59.7"/>
  </r>
  <r>
    <x v="1309"/>
    <d v="2025-05-23T00:00:00"/>
    <x v="1"/>
    <x v="2"/>
    <s v="Desktop"/>
    <s v="Paid Search"/>
    <s v="Basic"/>
    <n v="1"/>
    <n v="0"/>
    <n v="0"/>
    <n v="0"/>
    <n v="0"/>
    <n v="0"/>
    <n v="0"/>
    <n v="0"/>
    <n v="68.8"/>
  </r>
  <r>
    <x v="1310"/>
    <d v="2025-01-16T00:00:00"/>
    <x v="1"/>
    <x v="0"/>
    <s v="Desktop"/>
    <s v="Organic"/>
    <s v="Free"/>
    <n v="1"/>
    <n v="1"/>
    <n v="1"/>
    <n v="1"/>
    <n v="428.37"/>
    <n v="0"/>
    <n v="0"/>
    <n v="9"/>
    <n v="88.3"/>
  </r>
  <r>
    <x v="1311"/>
    <d v="2025-01-19T00:00:00"/>
    <x v="1"/>
    <x v="1"/>
    <s v="Desktop"/>
    <s v="Email"/>
    <s v="Basic"/>
    <n v="0"/>
    <n v="0"/>
    <n v="0"/>
    <n v="0"/>
    <n v="0"/>
    <n v="0"/>
    <n v="0"/>
    <n v="0"/>
    <n v="83.4"/>
  </r>
  <r>
    <x v="1312"/>
    <d v="2025-05-18T00:00:00"/>
    <x v="1"/>
    <x v="3"/>
    <s v="Mobile"/>
    <s v="Referral"/>
    <s v="Free"/>
    <n v="0"/>
    <n v="0"/>
    <n v="0"/>
    <n v="0"/>
    <n v="0"/>
    <n v="1"/>
    <n v="0"/>
    <n v="0"/>
    <n v="81.599999999999994"/>
  </r>
  <r>
    <x v="1313"/>
    <d v="2025-01-23T00:00:00"/>
    <x v="1"/>
    <x v="2"/>
    <s v="Tablet"/>
    <s v="Social"/>
    <s v="Premium"/>
    <n v="1"/>
    <n v="0"/>
    <n v="0"/>
    <n v="0"/>
    <n v="0"/>
    <n v="0"/>
    <n v="0"/>
    <n v="0"/>
    <n v="91.6"/>
  </r>
  <r>
    <x v="1314"/>
    <d v="2025-01-08T00:00:00"/>
    <x v="1"/>
    <x v="2"/>
    <s v="Tablet"/>
    <s v="Unknown"/>
    <s v="Premium"/>
    <n v="1"/>
    <n v="1"/>
    <n v="1"/>
    <n v="0"/>
    <n v="0"/>
    <n v="1"/>
    <n v="0"/>
    <n v="0"/>
    <n v="61.5"/>
  </r>
  <r>
    <x v="1315"/>
    <d v="2025-02-19T00:00:00"/>
    <x v="1"/>
    <x v="0"/>
    <s v="Mobile"/>
    <s v="Organic"/>
    <s v="Premium"/>
    <n v="0"/>
    <n v="0"/>
    <n v="0"/>
    <n v="0"/>
    <n v="0"/>
    <n v="0"/>
    <n v="0"/>
    <n v="0"/>
    <n v="0"/>
  </r>
  <r>
    <x v="1316"/>
    <d v="2025-02-10T00:00:00"/>
    <x v="1"/>
    <x v="3"/>
    <s v="Mobile"/>
    <s v="Organic"/>
    <s v="Free"/>
    <n v="1"/>
    <n v="0"/>
    <n v="0"/>
    <n v="0"/>
    <n v="0"/>
    <n v="0"/>
    <n v="0"/>
    <n v="0"/>
    <n v="32.6"/>
  </r>
  <r>
    <x v="1317"/>
    <d v="2025-04-13T00:00:00"/>
    <x v="1"/>
    <x v="3"/>
    <s v="Mobile"/>
    <s v="Paid Search"/>
    <s v="Free"/>
    <n v="1"/>
    <n v="0"/>
    <n v="0"/>
    <n v="0"/>
    <n v="0"/>
    <n v="0"/>
    <n v="0"/>
    <n v="0"/>
    <n v="73.900000000000006"/>
  </r>
  <r>
    <x v="1318"/>
    <d v="2025-05-20T00:00:00"/>
    <x v="1"/>
    <x v="2"/>
    <s v="Mobile"/>
    <s v="Organic"/>
    <s v="Free"/>
    <n v="1"/>
    <n v="1"/>
    <n v="1"/>
    <n v="1"/>
    <n v="444.06"/>
    <n v="0"/>
    <n v="0"/>
    <n v="9"/>
    <n v="99.9"/>
  </r>
  <r>
    <x v="1319"/>
    <d v="2025-05-13T00:00:00"/>
    <x v="1"/>
    <x v="3"/>
    <s v="Mobile"/>
    <s v="Paid Search"/>
    <s v="Basic"/>
    <n v="1"/>
    <n v="1"/>
    <n v="0"/>
    <n v="0"/>
    <n v="0"/>
    <n v="1"/>
    <n v="0"/>
    <n v="0"/>
    <n v="62.4"/>
  </r>
  <r>
    <x v="1320"/>
    <d v="2025-05-28T00:00:00"/>
    <x v="1"/>
    <x v="3"/>
    <s v="Desktop"/>
    <s v="Paid Search"/>
    <s v="Basic"/>
    <n v="1"/>
    <n v="0"/>
    <n v="0"/>
    <n v="0"/>
    <n v="0"/>
    <n v="0"/>
    <n v="0"/>
    <n v="0"/>
    <n v="46.1"/>
  </r>
  <r>
    <x v="1321"/>
    <d v="2025-03-19T00:00:00"/>
    <x v="1"/>
    <x v="1"/>
    <s v="Mobile"/>
    <s v="Organic"/>
    <s v="Free"/>
    <n v="1"/>
    <n v="1"/>
    <n v="1"/>
    <n v="1"/>
    <n v="2660.21"/>
    <n v="0"/>
    <n v="0"/>
    <n v="3"/>
    <n v="73.900000000000006"/>
  </r>
  <r>
    <x v="1322"/>
    <d v="2025-02-03T00:00:00"/>
    <x v="1"/>
    <x v="0"/>
    <s v="Mobile"/>
    <s v="Email"/>
    <s v="Premium"/>
    <n v="0"/>
    <n v="0"/>
    <n v="0"/>
    <n v="0"/>
    <n v="0"/>
    <n v="0"/>
    <n v="0"/>
    <n v="0"/>
    <n v="90"/>
  </r>
  <r>
    <x v="1323"/>
    <d v="2025-02-26T00:00:00"/>
    <x v="1"/>
    <x v="3"/>
    <s v="Mobile"/>
    <s v="Email"/>
    <s v="Basic"/>
    <n v="1"/>
    <n v="0"/>
    <n v="0"/>
    <n v="0"/>
    <n v="0"/>
    <n v="1"/>
    <n v="0"/>
    <n v="0"/>
    <n v="68.8"/>
  </r>
  <r>
    <x v="1324"/>
    <d v="2025-01-26T00:00:00"/>
    <x v="1"/>
    <x v="1"/>
    <s v="Mobile"/>
    <s v="Paid Search"/>
    <s v="Free"/>
    <n v="1"/>
    <n v="0"/>
    <n v="0"/>
    <n v="0"/>
    <n v="0"/>
    <n v="0"/>
    <n v="0"/>
    <n v="0"/>
    <n v="66.599999999999994"/>
  </r>
  <r>
    <x v="1325"/>
    <d v="2025-05-13T00:00:00"/>
    <x v="1"/>
    <x v="0"/>
    <s v="Mobile"/>
    <s v="Organic"/>
    <s v="Premium"/>
    <n v="1"/>
    <n v="0"/>
    <n v="0"/>
    <n v="0"/>
    <n v="0"/>
    <n v="0"/>
    <n v="0"/>
    <n v="0"/>
    <n v="49.7"/>
  </r>
  <r>
    <x v="1326"/>
    <d v="2025-02-02T00:00:00"/>
    <x v="1"/>
    <x v="3"/>
    <s v="Mobile"/>
    <s v="Paid Search"/>
    <s v="Basic"/>
    <n v="0"/>
    <n v="0"/>
    <n v="0"/>
    <n v="0"/>
    <n v="0"/>
    <n v="0"/>
    <n v="0"/>
    <n v="0"/>
    <n v="67.900000000000006"/>
  </r>
  <r>
    <x v="1327"/>
    <d v="2025-04-30T00:00:00"/>
    <x v="1"/>
    <x v="1"/>
    <s v="Mobile"/>
    <s v="Unknown"/>
    <s v="Basic"/>
    <n v="0"/>
    <n v="0"/>
    <n v="0"/>
    <n v="0"/>
    <n v="0"/>
    <n v="0"/>
    <n v="0"/>
    <n v="0"/>
    <n v="66.900000000000006"/>
  </r>
  <r>
    <x v="1328"/>
    <d v="2025-03-29T00:00:00"/>
    <x v="1"/>
    <x v="2"/>
    <s v="Mobile"/>
    <s v="Organic"/>
    <s v="Free"/>
    <n v="0"/>
    <n v="0"/>
    <n v="0"/>
    <n v="0"/>
    <n v="0"/>
    <n v="0"/>
    <n v="0"/>
    <n v="0"/>
    <n v="46.1"/>
  </r>
  <r>
    <x v="1329"/>
    <d v="2025-04-09T00:00:00"/>
    <x v="1"/>
    <x v="1"/>
    <s v="Desktop"/>
    <s v="Referral"/>
    <s v="Premium"/>
    <n v="1"/>
    <n v="0"/>
    <n v="0"/>
    <n v="0"/>
    <n v="0"/>
    <n v="0"/>
    <n v="0"/>
    <n v="0"/>
    <n v="85.6"/>
  </r>
  <r>
    <x v="1330"/>
    <d v="2025-01-22T00:00:00"/>
    <x v="1"/>
    <x v="3"/>
    <s v="Tablet"/>
    <s v="Organic"/>
    <s v="Free"/>
    <n v="0"/>
    <n v="0"/>
    <n v="0"/>
    <n v="0"/>
    <n v="0"/>
    <n v="0"/>
    <n v="0"/>
    <n v="0"/>
    <n v="39.6"/>
  </r>
  <r>
    <x v="1331"/>
    <d v="2025-01-27T00:00:00"/>
    <x v="1"/>
    <x v="3"/>
    <s v="Mobile"/>
    <s v="Organic"/>
    <s v="Basic"/>
    <n v="1"/>
    <n v="0"/>
    <n v="0"/>
    <n v="0"/>
    <n v="0"/>
    <n v="0"/>
    <n v="0"/>
    <n v="0"/>
    <n v="52.5"/>
  </r>
  <r>
    <x v="1332"/>
    <d v="2025-01-22T00:00:00"/>
    <x v="1"/>
    <x v="2"/>
    <s v="Mobile"/>
    <s v="Social"/>
    <s v="Premium"/>
    <n v="1"/>
    <n v="0"/>
    <n v="0"/>
    <n v="0"/>
    <n v="0"/>
    <n v="0"/>
    <n v="0"/>
    <n v="0"/>
    <n v="73.5"/>
  </r>
  <r>
    <x v="1333"/>
    <d v="2025-01-06T00:00:00"/>
    <x v="1"/>
    <x v="1"/>
    <s v="Desktop"/>
    <s v="Paid Search"/>
    <s v="Free"/>
    <n v="0"/>
    <n v="0"/>
    <n v="0"/>
    <n v="0"/>
    <n v="0"/>
    <n v="0"/>
    <n v="0"/>
    <n v="0"/>
    <n v="62.5"/>
  </r>
  <r>
    <x v="1334"/>
    <d v="2025-04-16T00:00:00"/>
    <x v="1"/>
    <x v="3"/>
    <s v="Unknown"/>
    <s v="Organic"/>
    <s v="Free"/>
    <n v="1"/>
    <n v="0"/>
    <n v="0"/>
    <n v="0"/>
    <n v="0"/>
    <n v="0"/>
    <n v="0"/>
    <n v="0"/>
    <n v="76.900000000000006"/>
  </r>
  <r>
    <x v="1335"/>
    <d v="2025-04-14T00:00:00"/>
    <x v="1"/>
    <x v="3"/>
    <s v="Mobile"/>
    <s v="Organic"/>
    <s v="Free"/>
    <n v="1"/>
    <n v="0"/>
    <n v="0"/>
    <n v="0"/>
    <n v="0"/>
    <n v="0"/>
    <n v="0"/>
    <n v="0"/>
    <n v="51.4"/>
  </r>
  <r>
    <x v="1336"/>
    <d v="2025-02-22T00:00:00"/>
    <x v="1"/>
    <x v="1"/>
    <s v="Mobile"/>
    <s v="Paid Search"/>
    <s v="Basic"/>
    <n v="1"/>
    <n v="0"/>
    <n v="0"/>
    <n v="0"/>
    <n v="0"/>
    <n v="0"/>
    <n v="0"/>
    <n v="0"/>
    <n v="59.3"/>
  </r>
  <r>
    <x v="1337"/>
    <d v="2025-03-09T00:00:00"/>
    <x v="1"/>
    <x v="0"/>
    <s v="Mobile"/>
    <s v="Organic"/>
    <s v="Basic"/>
    <n v="0"/>
    <n v="0"/>
    <n v="0"/>
    <n v="0"/>
    <n v="0"/>
    <n v="0"/>
    <n v="0"/>
    <n v="0"/>
    <n v="74.900000000000006"/>
  </r>
  <r>
    <x v="1338"/>
    <d v="2025-04-20T00:00:00"/>
    <x v="1"/>
    <x v="1"/>
    <s v="Desktop"/>
    <s v="Organic"/>
    <s v="Free"/>
    <n v="1"/>
    <n v="0"/>
    <n v="0"/>
    <n v="0"/>
    <n v="0"/>
    <n v="0"/>
    <n v="0"/>
    <n v="0"/>
    <n v="67"/>
  </r>
  <r>
    <x v="1339"/>
    <d v="2025-03-10T00:00:00"/>
    <x v="1"/>
    <x v="3"/>
    <s v="Mobile"/>
    <s v="Email"/>
    <s v="Free"/>
    <n v="0"/>
    <n v="0"/>
    <n v="0"/>
    <n v="0"/>
    <n v="0"/>
    <n v="0"/>
    <n v="0"/>
    <n v="0"/>
    <n v="63.6"/>
  </r>
  <r>
    <x v="1340"/>
    <d v="2025-02-21T00:00:00"/>
    <x v="1"/>
    <x v="3"/>
    <s v="Mobile"/>
    <s v="Email"/>
    <s v="Free"/>
    <n v="1"/>
    <n v="1"/>
    <n v="0"/>
    <n v="0"/>
    <n v="0"/>
    <n v="1"/>
    <n v="0"/>
    <n v="0"/>
    <n v="58.4"/>
  </r>
  <r>
    <x v="1341"/>
    <d v="2025-01-06T00:00:00"/>
    <x v="1"/>
    <x v="0"/>
    <s v="Desktop"/>
    <s v="Social"/>
    <s v="Free"/>
    <n v="1"/>
    <n v="0"/>
    <n v="0"/>
    <n v="0"/>
    <n v="0"/>
    <n v="0"/>
    <n v="0"/>
    <n v="0"/>
    <n v="36.799999999999997"/>
  </r>
  <r>
    <x v="1342"/>
    <d v="2025-04-17T00:00:00"/>
    <x v="1"/>
    <x v="3"/>
    <s v="Mobile"/>
    <s v="Organic"/>
    <s v="Premium"/>
    <n v="1"/>
    <n v="0"/>
    <n v="0"/>
    <n v="0"/>
    <n v="0"/>
    <n v="0"/>
    <n v="0"/>
    <n v="0"/>
    <n v="71.599999999999994"/>
  </r>
  <r>
    <x v="1343"/>
    <d v="2025-05-23T00:00:00"/>
    <x v="1"/>
    <x v="3"/>
    <s v="Mobile"/>
    <s v="Email"/>
    <s v="Basic"/>
    <n v="1"/>
    <n v="1"/>
    <n v="0"/>
    <n v="0"/>
    <n v="0"/>
    <n v="1"/>
    <n v="0"/>
    <n v="0"/>
    <n v="79.7"/>
  </r>
  <r>
    <x v="1344"/>
    <d v="2025-03-14T00:00:00"/>
    <x v="1"/>
    <x v="1"/>
    <s v="Desktop"/>
    <s v="Organic"/>
    <s v="Basic"/>
    <n v="1"/>
    <n v="0"/>
    <n v="0"/>
    <n v="0"/>
    <n v="0"/>
    <n v="1"/>
    <n v="0"/>
    <n v="0"/>
    <n v="56.5"/>
  </r>
  <r>
    <x v="1345"/>
    <d v="2025-04-21T00:00:00"/>
    <x v="1"/>
    <x v="0"/>
    <s v="Mobile"/>
    <s v="Social"/>
    <s v="Premium"/>
    <n v="1"/>
    <n v="0"/>
    <n v="0"/>
    <n v="0"/>
    <n v="0"/>
    <n v="0"/>
    <n v="0"/>
    <n v="0"/>
    <n v="44.7"/>
  </r>
  <r>
    <x v="1346"/>
    <d v="2025-01-03T00:00:00"/>
    <x v="1"/>
    <x v="3"/>
    <s v="Mobile"/>
    <s v="Social"/>
    <s v="Free"/>
    <n v="1"/>
    <n v="1"/>
    <n v="1"/>
    <n v="0"/>
    <n v="0"/>
    <n v="1"/>
    <n v="0"/>
    <n v="0"/>
    <n v="66"/>
  </r>
  <r>
    <x v="1347"/>
    <d v="2025-05-09T00:00:00"/>
    <x v="1"/>
    <x v="0"/>
    <s v="Desktop"/>
    <s v="Organic"/>
    <s v="Basic"/>
    <n v="1"/>
    <n v="0"/>
    <n v="0"/>
    <n v="0"/>
    <n v="0"/>
    <n v="0"/>
    <n v="0"/>
    <n v="0"/>
    <n v="73"/>
  </r>
  <r>
    <x v="1348"/>
    <d v="2025-05-22T00:00:00"/>
    <x v="1"/>
    <x v="3"/>
    <s v="Mobile"/>
    <s v="Organic"/>
    <s v="Basic"/>
    <n v="1"/>
    <n v="1"/>
    <n v="1"/>
    <n v="0"/>
    <n v="0"/>
    <n v="1"/>
    <n v="0"/>
    <n v="0"/>
    <n v="72.5"/>
  </r>
  <r>
    <x v="1349"/>
    <d v="2025-05-07T00:00:00"/>
    <x v="1"/>
    <x v="3"/>
    <s v="Desktop"/>
    <s v="Paid Search"/>
    <s v="Free"/>
    <n v="1"/>
    <n v="1"/>
    <n v="1"/>
    <n v="1"/>
    <n v="323.60000000000002"/>
    <n v="0"/>
    <n v="0"/>
    <n v="6"/>
    <n v="100"/>
  </r>
  <r>
    <x v="1350"/>
    <d v="2025-02-08T00:00:00"/>
    <x v="1"/>
    <x v="2"/>
    <s v="Mobile"/>
    <s v="Social"/>
    <s v="Free"/>
    <n v="0"/>
    <n v="0"/>
    <n v="0"/>
    <n v="0"/>
    <n v="0"/>
    <n v="1"/>
    <n v="0"/>
    <n v="0"/>
    <n v="90.5"/>
  </r>
  <r>
    <x v="1351"/>
    <d v="2025-04-03T00:00:00"/>
    <x v="1"/>
    <x v="0"/>
    <s v="Tablet"/>
    <s v="Social"/>
    <s v="Basic"/>
    <n v="1"/>
    <n v="0"/>
    <n v="0"/>
    <n v="0"/>
    <n v="0"/>
    <n v="0"/>
    <n v="0"/>
    <n v="0"/>
    <n v="70.2"/>
  </r>
  <r>
    <x v="1352"/>
    <d v="2025-04-17T00:00:00"/>
    <x v="1"/>
    <x v="2"/>
    <s v="Desktop"/>
    <s v="Paid Search"/>
    <s v="Free"/>
    <n v="1"/>
    <n v="0"/>
    <n v="0"/>
    <n v="0"/>
    <n v="0"/>
    <n v="1"/>
    <n v="0"/>
    <n v="0"/>
    <n v="67.099999999999994"/>
  </r>
  <r>
    <x v="1353"/>
    <d v="2025-05-04T00:00:00"/>
    <x v="1"/>
    <x v="2"/>
    <s v="Mobile"/>
    <s v="Organic"/>
    <s v="Free"/>
    <n v="0"/>
    <n v="0"/>
    <n v="0"/>
    <n v="0"/>
    <n v="0"/>
    <n v="0"/>
    <n v="0"/>
    <n v="0"/>
    <n v="54.5"/>
  </r>
  <r>
    <x v="1354"/>
    <d v="2025-05-11T00:00:00"/>
    <x v="1"/>
    <x v="1"/>
    <s v="Desktop"/>
    <s v="Organic"/>
    <s v="Free"/>
    <n v="1"/>
    <n v="0"/>
    <n v="0"/>
    <n v="0"/>
    <n v="0"/>
    <n v="0"/>
    <n v="0"/>
    <n v="0"/>
    <n v="63.4"/>
  </r>
  <r>
    <x v="1355"/>
    <d v="2025-03-01T00:00:00"/>
    <x v="1"/>
    <x v="0"/>
    <s v="Desktop"/>
    <s v="Unknown"/>
    <s v="Free"/>
    <n v="1"/>
    <n v="1"/>
    <n v="1"/>
    <n v="0"/>
    <n v="0"/>
    <n v="0"/>
    <n v="0"/>
    <n v="0"/>
    <n v="84.3"/>
  </r>
  <r>
    <x v="1356"/>
    <d v="2025-02-20T00:00:00"/>
    <x v="1"/>
    <x v="1"/>
    <s v="Desktop"/>
    <s v="Organic"/>
    <s v="Free"/>
    <n v="1"/>
    <n v="0"/>
    <n v="0"/>
    <n v="0"/>
    <n v="0"/>
    <n v="1"/>
    <n v="0"/>
    <n v="0"/>
    <n v="55"/>
  </r>
  <r>
    <x v="1357"/>
    <d v="2025-05-09T00:00:00"/>
    <x v="1"/>
    <x v="1"/>
    <s v="Mobile"/>
    <s v="Social"/>
    <s v="Free"/>
    <n v="1"/>
    <n v="0"/>
    <n v="0"/>
    <n v="0"/>
    <n v="0"/>
    <n v="0"/>
    <n v="0"/>
    <n v="0"/>
    <n v="63.6"/>
  </r>
  <r>
    <x v="1358"/>
    <d v="2025-04-30T00:00:00"/>
    <x v="1"/>
    <x v="1"/>
    <s v="Mobile"/>
    <s v="Organic"/>
    <s v="Free"/>
    <n v="1"/>
    <n v="0"/>
    <n v="0"/>
    <n v="0"/>
    <n v="0"/>
    <n v="0"/>
    <n v="0"/>
    <n v="0"/>
    <n v="55.5"/>
  </r>
  <r>
    <x v="1359"/>
    <d v="2025-01-07T00:00:00"/>
    <x v="1"/>
    <x v="3"/>
    <s v="Mobile"/>
    <s v="Social"/>
    <s v="Basic"/>
    <n v="0"/>
    <n v="0"/>
    <n v="0"/>
    <n v="0"/>
    <n v="0"/>
    <n v="0"/>
    <n v="0"/>
    <n v="0"/>
    <n v="50.5"/>
  </r>
  <r>
    <x v="1360"/>
    <d v="2025-04-30T00:00:00"/>
    <x v="1"/>
    <x v="0"/>
    <s v="Mobile"/>
    <s v="Social"/>
    <s v="Basic"/>
    <n v="1"/>
    <n v="0"/>
    <n v="0"/>
    <n v="0"/>
    <n v="0"/>
    <n v="0"/>
    <n v="0"/>
    <n v="0"/>
    <n v="45.3"/>
  </r>
  <r>
    <x v="1361"/>
    <d v="2025-05-23T00:00:00"/>
    <x v="1"/>
    <x v="2"/>
    <s v="Mobile"/>
    <s v="Organic"/>
    <s v="Basic"/>
    <n v="1"/>
    <n v="0"/>
    <n v="0"/>
    <n v="0"/>
    <n v="0"/>
    <n v="0"/>
    <n v="0"/>
    <n v="0"/>
    <n v="33.6"/>
  </r>
  <r>
    <x v="1362"/>
    <d v="2025-03-12T00:00:00"/>
    <x v="1"/>
    <x v="3"/>
    <s v="Mobile"/>
    <s v="Paid Search"/>
    <s v="Premium"/>
    <n v="1"/>
    <n v="1"/>
    <n v="1"/>
    <n v="0"/>
    <n v="0"/>
    <n v="0"/>
    <n v="0"/>
    <n v="0"/>
    <n v="88.2"/>
  </r>
  <r>
    <x v="1363"/>
    <d v="2025-02-17T00:00:00"/>
    <x v="1"/>
    <x v="0"/>
    <s v="Mobile"/>
    <s v="Organic"/>
    <s v="Premium"/>
    <n v="1"/>
    <n v="0"/>
    <n v="0"/>
    <n v="0"/>
    <n v="0"/>
    <n v="0"/>
    <n v="0"/>
    <n v="0"/>
    <n v="51.8"/>
  </r>
  <r>
    <x v="1364"/>
    <d v="2025-05-27T00:00:00"/>
    <x v="1"/>
    <x v="0"/>
    <s v="Desktop"/>
    <s v="Organic"/>
    <s v="Basic"/>
    <n v="0"/>
    <n v="0"/>
    <n v="0"/>
    <n v="0"/>
    <n v="0"/>
    <n v="0"/>
    <n v="0"/>
    <n v="0"/>
    <n v="87.9"/>
  </r>
  <r>
    <x v="1365"/>
    <d v="2025-05-10T00:00:00"/>
    <x v="1"/>
    <x v="3"/>
    <s v="Mobile"/>
    <s v="Social"/>
    <s v="Premium"/>
    <n v="1"/>
    <n v="0"/>
    <n v="0"/>
    <n v="0"/>
    <n v="0"/>
    <n v="2"/>
    <n v="0"/>
    <n v="0"/>
    <n v="70.5"/>
  </r>
  <r>
    <x v="1366"/>
    <d v="2025-01-20T00:00:00"/>
    <x v="1"/>
    <x v="0"/>
    <s v="Mobile"/>
    <s v="Organic"/>
    <s v="Basic"/>
    <n v="1"/>
    <n v="1"/>
    <n v="0"/>
    <n v="0"/>
    <n v="0"/>
    <n v="2"/>
    <n v="0"/>
    <n v="0"/>
    <n v="58.5"/>
  </r>
  <r>
    <x v="1367"/>
    <d v="2025-01-19T00:00:00"/>
    <x v="1"/>
    <x v="2"/>
    <s v="Mobile"/>
    <s v="Referral"/>
    <s v="Free"/>
    <n v="1"/>
    <n v="0"/>
    <n v="0"/>
    <n v="0"/>
    <n v="0"/>
    <n v="0"/>
    <n v="0"/>
    <n v="0"/>
    <n v="65.599999999999994"/>
  </r>
  <r>
    <x v="1368"/>
    <d v="2025-03-07T00:00:00"/>
    <x v="1"/>
    <x v="1"/>
    <s v="Desktop"/>
    <s v="Paid Search"/>
    <s v="Basic"/>
    <n v="1"/>
    <n v="1"/>
    <n v="0"/>
    <n v="0"/>
    <n v="0"/>
    <n v="0"/>
    <n v="0"/>
    <n v="0"/>
    <n v="62.7"/>
  </r>
  <r>
    <x v="1369"/>
    <d v="2025-02-02T00:00:00"/>
    <x v="1"/>
    <x v="2"/>
    <s v="Mobile"/>
    <s v="Organic"/>
    <s v="Free"/>
    <n v="0"/>
    <n v="0"/>
    <n v="0"/>
    <n v="0"/>
    <n v="0"/>
    <n v="1"/>
    <n v="0"/>
    <n v="0"/>
    <n v="50.9"/>
  </r>
  <r>
    <x v="1370"/>
    <d v="2025-03-07T00:00:00"/>
    <x v="1"/>
    <x v="0"/>
    <s v="Mobile"/>
    <s v="Organic"/>
    <s v="Free"/>
    <n v="0"/>
    <n v="0"/>
    <n v="0"/>
    <n v="0"/>
    <n v="0"/>
    <n v="1"/>
    <n v="0"/>
    <n v="0"/>
    <n v="60.6"/>
  </r>
  <r>
    <x v="1371"/>
    <d v="2025-03-30T00:00:00"/>
    <x v="1"/>
    <x v="2"/>
    <s v="Desktop"/>
    <s v="Organic"/>
    <s v="Free"/>
    <n v="1"/>
    <n v="1"/>
    <n v="1"/>
    <n v="0"/>
    <n v="0"/>
    <n v="0"/>
    <n v="0"/>
    <n v="0"/>
    <n v="76.599999999999994"/>
  </r>
  <r>
    <x v="1372"/>
    <d v="2025-05-05T00:00:00"/>
    <x v="1"/>
    <x v="2"/>
    <s v="Desktop"/>
    <s v="Paid Search"/>
    <s v="Free"/>
    <n v="1"/>
    <n v="1"/>
    <n v="1"/>
    <n v="0"/>
    <n v="0"/>
    <n v="0"/>
    <n v="0"/>
    <n v="0"/>
    <n v="54.4"/>
  </r>
  <r>
    <x v="1373"/>
    <d v="2025-04-11T00:00:00"/>
    <x v="1"/>
    <x v="3"/>
    <s v="Mobile"/>
    <s v="Social"/>
    <s v="Free"/>
    <n v="1"/>
    <n v="0"/>
    <n v="0"/>
    <n v="0"/>
    <n v="0"/>
    <n v="0"/>
    <n v="0"/>
    <n v="0"/>
    <n v="31.2"/>
  </r>
  <r>
    <x v="1374"/>
    <d v="2025-03-25T00:00:00"/>
    <x v="1"/>
    <x v="1"/>
    <s v="Desktop"/>
    <s v="Email"/>
    <s v="Premium"/>
    <n v="1"/>
    <n v="0"/>
    <n v="0"/>
    <n v="0"/>
    <n v="0"/>
    <n v="0"/>
    <n v="0"/>
    <n v="0"/>
    <n v="72.400000000000006"/>
  </r>
  <r>
    <x v="1375"/>
    <d v="2025-03-24T00:00:00"/>
    <x v="1"/>
    <x v="0"/>
    <s v="Mobile"/>
    <s v="Organic"/>
    <s v="Premium"/>
    <n v="1"/>
    <n v="0"/>
    <n v="0"/>
    <n v="0"/>
    <n v="0"/>
    <n v="0"/>
    <n v="0"/>
    <n v="0"/>
    <n v="74.5"/>
  </r>
  <r>
    <x v="1376"/>
    <d v="2025-04-27T00:00:00"/>
    <x v="1"/>
    <x v="2"/>
    <s v="Mobile"/>
    <s v="Organic"/>
    <s v="Basic"/>
    <n v="0"/>
    <n v="0"/>
    <n v="0"/>
    <n v="0"/>
    <n v="0"/>
    <n v="0"/>
    <n v="0"/>
    <n v="0"/>
    <n v="52.6"/>
  </r>
  <r>
    <x v="1377"/>
    <d v="2025-01-25T00:00:00"/>
    <x v="1"/>
    <x v="0"/>
    <s v="Desktop"/>
    <s v="Paid Search"/>
    <s v="Free"/>
    <n v="1"/>
    <n v="0"/>
    <n v="0"/>
    <n v="0"/>
    <n v="0"/>
    <n v="0"/>
    <n v="0"/>
    <n v="0"/>
    <n v="75.400000000000006"/>
  </r>
  <r>
    <x v="1378"/>
    <d v="2025-02-17T00:00:00"/>
    <x v="1"/>
    <x v="0"/>
    <s v="Tablet"/>
    <s v="Social"/>
    <s v="Basic"/>
    <n v="1"/>
    <n v="1"/>
    <n v="1"/>
    <n v="1"/>
    <n v="751.33"/>
    <n v="0"/>
    <n v="0"/>
    <n v="9"/>
    <n v="34"/>
  </r>
  <r>
    <x v="1379"/>
    <d v="2025-04-13T00:00:00"/>
    <x v="1"/>
    <x v="3"/>
    <s v="Desktop"/>
    <s v="Organic"/>
    <s v="Free"/>
    <n v="1"/>
    <n v="0"/>
    <n v="0"/>
    <n v="0"/>
    <n v="0"/>
    <n v="0"/>
    <n v="0"/>
    <n v="0"/>
    <n v="67.099999999999994"/>
  </r>
  <r>
    <x v="1380"/>
    <d v="2025-05-03T00:00:00"/>
    <x v="1"/>
    <x v="1"/>
    <s v="Desktop"/>
    <s v="Paid Search"/>
    <s v="Premium"/>
    <n v="1"/>
    <n v="0"/>
    <n v="0"/>
    <n v="0"/>
    <n v="0"/>
    <n v="0"/>
    <n v="0"/>
    <n v="0"/>
    <n v="37.299999999999997"/>
  </r>
  <r>
    <x v="1381"/>
    <d v="2025-04-29T00:00:00"/>
    <x v="1"/>
    <x v="1"/>
    <s v="Mobile"/>
    <s v="Email"/>
    <s v="Free"/>
    <n v="1"/>
    <n v="0"/>
    <n v="0"/>
    <n v="0"/>
    <n v="0"/>
    <n v="0"/>
    <n v="0"/>
    <n v="0"/>
    <n v="54.7"/>
  </r>
  <r>
    <x v="1382"/>
    <d v="2025-05-03T00:00:00"/>
    <x v="1"/>
    <x v="2"/>
    <s v="Desktop"/>
    <s v="Paid Search"/>
    <s v="Free"/>
    <n v="1"/>
    <n v="0"/>
    <n v="0"/>
    <n v="0"/>
    <n v="0"/>
    <n v="0"/>
    <n v="0"/>
    <n v="0"/>
    <n v="51.8"/>
  </r>
  <r>
    <x v="1383"/>
    <d v="2025-04-28T00:00:00"/>
    <x v="1"/>
    <x v="1"/>
    <s v="Mobile"/>
    <s v="Paid Search"/>
    <s v="Free"/>
    <n v="0"/>
    <n v="0"/>
    <n v="0"/>
    <n v="0"/>
    <n v="0"/>
    <n v="0"/>
    <n v="0"/>
    <n v="0"/>
    <n v="49.2"/>
  </r>
  <r>
    <x v="1384"/>
    <d v="2025-01-21T00:00:00"/>
    <x v="1"/>
    <x v="1"/>
    <s v="Mobile"/>
    <s v="Organic"/>
    <s v="Free"/>
    <n v="1"/>
    <n v="0"/>
    <n v="0"/>
    <n v="0"/>
    <n v="0"/>
    <n v="2"/>
    <n v="0"/>
    <n v="0"/>
    <n v="58.8"/>
  </r>
  <r>
    <x v="1385"/>
    <d v="2025-01-21T00:00:00"/>
    <x v="1"/>
    <x v="0"/>
    <s v="Tablet"/>
    <s v="Paid Search"/>
    <s v="Basic"/>
    <n v="0"/>
    <n v="0"/>
    <n v="0"/>
    <n v="0"/>
    <n v="0"/>
    <n v="1"/>
    <n v="0"/>
    <n v="0"/>
    <n v="59.1"/>
  </r>
  <r>
    <x v="1386"/>
    <d v="2025-05-21T00:00:00"/>
    <x v="1"/>
    <x v="1"/>
    <s v="Desktop"/>
    <s v="Paid Search"/>
    <s v="Free"/>
    <n v="1"/>
    <n v="0"/>
    <n v="0"/>
    <n v="0"/>
    <n v="0"/>
    <n v="2"/>
    <n v="0"/>
    <n v="0"/>
    <n v="49.6"/>
  </r>
  <r>
    <x v="1387"/>
    <d v="2025-01-05T00:00:00"/>
    <x v="1"/>
    <x v="0"/>
    <s v="Mobile"/>
    <s v="Referral"/>
    <s v="Free"/>
    <n v="0"/>
    <n v="0"/>
    <n v="0"/>
    <n v="0"/>
    <n v="0"/>
    <n v="0"/>
    <n v="0"/>
    <n v="0"/>
    <n v="58.2"/>
  </r>
  <r>
    <x v="1388"/>
    <d v="2025-03-06T00:00:00"/>
    <x v="1"/>
    <x v="3"/>
    <s v="Desktop"/>
    <s v="Organic"/>
    <s v="Free"/>
    <n v="1"/>
    <n v="0"/>
    <n v="0"/>
    <n v="0"/>
    <n v="0"/>
    <n v="0"/>
    <n v="0"/>
    <n v="0"/>
    <n v="66.8"/>
  </r>
  <r>
    <x v="1389"/>
    <d v="2025-04-18T00:00:00"/>
    <x v="1"/>
    <x v="0"/>
    <s v="Mobile"/>
    <s v="Paid Search"/>
    <s v="Free"/>
    <n v="1"/>
    <n v="0"/>
    <n v="0"/>
    <n v="0"/>
    <n v="0"/>
    <n v="3"/>
    <n v="0"/>
    <n v="0"/>
    <n v="58.3"/>
  </r>
  <r>
    <x v="1390"/>
    <d v="2025-04-15T00:00:00"/>
    <x v="1"/>
    <x v="1"/>
    <s v="Mobile"/>
    <s v="Organic"/>
    <s v="Basic"/>
    <n v="1"/>
    <n v="1"/>
    <n v="1"/>
    <n v="0"/>
    <n v="0"/>
    <n v="0"/>
    <n v="0"/>
    <n v="0"/>
    <n v="38.5"/>
  </r>
  <r>
    <x v="1391"/>
    <d v="2025-02-10T00:00:00"/>
    <x v="1"/>
    <x v="2"/>
    <s v="Mobile"/>
    <s v="Paid Search"/>
    <s v="Free"/>
    <n v="1"/>
    <n v="0"/>
    <n v="0"/>
    <n v="0"/>
    <n v="0"/>
    <n v="0"/>
    <n v="0"/>
    <n v="0"/>
    <n v="76.900000000000006"/>
  </r>
  <r>
    <x v="1392"/>
    <d v="2025-05-08T00:00:00"/>
    <x v="1"/>
    <x v="2"/>
    <s v="Mobile"/>
    <s v="Organic"/>
    <s v="Free"/>
    <n v="1"/>
    <n v="0"/>
    <n v="0"/>
    <n v="0"/>
    <n v="0"/>
    <n v="0"/>
    <n v="0"/>
    <n v="0"/>
    <n v="54"/>
  </r>
  <r>
    <x v="1393"/>
    <d v="2025-05-28T00:00:00"/>
    <x v="1"/>
    <x v="2"/>
    <s v="Tablet"/>
    <s v="Organic"/>
    <s v="Free"/>
    <n v="1"/>
    <n v="0"/>
    <n v="0"/>
    <n v="0"/>
    <n v="0"/>
    <n v="0"/>
    <n v="0"/>
    <n v="0"/>
    <n v="70.599999999999994"/>
  </r>
  <r>
    <x v="1394"/>
    <d v="2025-04-25T00:00:00"/>
    <x v="1"/>
    <x v="0"/>
    <s v="Tablet"/>
    <s v="Referral"/>
    <s v="Premium"/>
    <n v="1"/>
    <n v="1"/>
    <n v="1"/>
    <n v="0"/>
    <n v="0"/>
    <n v="1"/>
    <n v="0"/>
    <n v="0"/>
    <n v="69.400000000000006"/>
  </r>
  <r>
    <x v="1395"/>
    <d v="2025-02-11T00:00:00"/>
    <x v="1"/>
    <x v="3"/>
    <s v="Mobile"/>
    <s v="Unknown"/>
    <s v="Premium"/>
    <n v="1"/>
    <n v="1"/>
    <n v="1"/>
    <n v="1"/>
    <n v="1009.9"/>
    <n v="0"/>
    <n v="0"/>
    <n v="6"/>
    <n v="89.7"/>
  </r>
  <r>
    <x v="1396"/>
    <d v="2025-04-14T00:00:00"/>
    <x v="1"/>
    <x v="1"/>
    <s v="Mobile"/>
    <s v="Organic"/>
    <s v="Free"/>
    <n v="1"/>
    <n v="0"/>
    <n v="0"/>
    <n v="0"/>
    <n v="0"/>
    <n v="0"/>
    <n v="0"/>
    <n v="0"/>
    <n v="62.4"/>
  </r>
  <r>
    <x v="1397"/>
    <d v="2025-02-04T00:00:00"/>
    <x v="1"/>
    <x v="1"/>
    <s v="Tablet"/>
    <s v="Organic"/>
    <s v="Premium"/>
    <n v="0"/>
    <n v="0"/>
    <n v="0"/>
    <n v="0"/>
    <n v="0"/>
    <n v="0"/>
    <n v="0"/>
    <n v="0"/>
    <n v="67.3"/>
  </r>
  <r>
    <x v="1398"/>
    <d v="2025-03-22T00:00:00"/>
    <x v="1"/>
    <x v="2"/>
    <s v="Mobile"/>
    <s v="Referral"/>
    <s v="Free"/>
    <n v="1"/>
    <n v="0"/>
    <n v="0"/>
    <n v="0"/>
    <n v="0"/>
    <n v="0"/>
    <n v="0"/>
    <n v="0"/>
    <n v="54.9"/>
  </r>
  <r>
    <x v="1399"/>
    <d v="2025-04-18T00:00:00"/>
    <x v="1"/>
    <x v="2"/>
    <s v="Desktop"/>
    <s v="Social"/>
    <s v="Free"/>
    <n v="0"/>
    <n v="0"/>
    <n v="0"/>
    <n v="0"/>
    <n v="0"/>
    <n v="0"/>
    <n v="0"/>
    <n v="0"/>
    <n v="55.7"/>
  </r>
  <r>
    <x v="1400"/>
    <d v="2025-02-23T00:00:00"/>
    <x v="1"/>
    <x v="1"/>
    <s v="Desktop"/>
    <s v="Social"/>
    <s v="Basic"/>
    <n v="1"/>
    <n v="1"/>
    <n v="1"/>
    <n v="0"/>
    <n v="0"/>
    <n v="0"/>
    <n v="0"/>
    <n v="0"/>
    <n v="70.599999999999994"/>
  </r>
  <r>
    <x v="1400"/>
    <d v="2025-02-03T00:00:00"/>
    <x v="0"/>
    <x v="0"/>
    <s v="Tablet"/>
    <s v="Email"/>
    <s v="Basic"/>
    <n v="1"/>
    <n v="0"/>
    <n v="0"/>
    <n v="0"/>
    <n v="0"/>
    <n v="0"/>
    <n v="0"/>
    <n v="0"/>
    <n v="60.9"/>
  </r>
  <r>
    <x v="1400"/>
    <d v="2025-05-23T00:00:00"/>
    <x v="1"/>
    <x v="2"/>
    <s v="Mobile"/>
    <s v="Organic"/>
    <s v="Basic"/>
    <n v="1"/>
    <n v="0"/>
    <n v="0"/>
    <n v="0"/>
    <n v="0"/>
    <n v="0"/>
    <n v="0"/>
    <n v="0"/>
    <n v="33.6"/>
  </r>
  <r>
    <x v="1400"/>
    <d v="2025-02-05T00:00:00"/>
    <x v="0"/>
    <x v="2"/>
    <s v="Mobile"/>
    <s v="Social"/>
    <s v="Free"/>
    <n v="0"/>
    <n v="0"/>
    <n v="0"/>
    <n v="0"/>
    <n v="0"/>
    <n v="0"/>
    <n v="0"/>
    <n v="0"/>
    <n v="68"/>
  </r>
  <r>
    <x v="1400"/>
    <d v="2025-02-24T00:00:00"/>
    <x v="1"/>
    <x v="1"/>
    <s v="Mobile"/>
    <s v="Organic"/>
    <s v="Basic"/>
    <n v="1"/>
    <n v="0"/>
    <n v="0"/>
    <n v="0"/>
    <n v="0"/>
    <n v="0"/>
    <n v="0"/>
    <n v="0"/>
    <n v="62"/>
  </r>
  <r>
    <x v="1400"/>
    <d v="2025-03-30T00:00:00"/>
    <x v="1"/>
    <x v="2"/>
    <s v="Mobile"/>
    <s v="Organic"/>
    <s v="Free"/>
    <n v="1"/>
    <n v="1"/>
    <n v="1"/>
    <n v="0"/>
    <n v="0"/>
    <n v="1"/>
    <n v="0"/>
    <n v="0"/>
    <n v="72.5"/>
  </r>
  <r>
    <x v="1400"/>
    <d v="2025-05-16T00:00:00"/>
    <x v="1"/>
    <x v="3"/>
    <s v="Mobile"/>
    <s v="Organic"/>
    <s v="Free"/>
    <n v="1"/>
    <n v="0"/>
    <n v="0"/>
    <n v="0"/>
    <n v="0"/>
    <n v="0"/>
    <n v="0"/>
    <n v="0"/>
    <n v="70.3"/>
  </r>
  <r>
    <x v="1400"/>
    <d v="2025-05-22T00:00:00"/>
    <x v="0"/>
    <x v="0"/>
    <s v="Mobile"/>
    <s v="Paid Search"/>
    <s v="Basic"/>
    <n v="1"/>
    <n v="1"/>
    <n v="0"/>
    <n v="0"/>
    <n v="0"/>
    <n v="0"/>
    <n v="0"/>
    <n v="0"/>
    <n v="39.9"/>
  </r>
  <r>
    <x v="1400"/>
    <m/>
    <x v="2"/>
    <x v="4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x v="0"/>
    <d v="2025-03-16T00:00:00"/>
    <x v="0"/>
    <s v="North"/>
    <x v="0"/>
    <x v="0"/>
    <x v="0"/>
    <n v="0"/>
    <n v="0"/>
    <n v="0"/>
    <x v="0"/>
    <n v="0"/>
    <n v="0"/>
    <n v="0"/>
    <n v="0"/>
    <n v="45.7"/>
  </r>
  <r>
    <x v="1"/>
    <d v="2025-03-08T00:00:00"/>
    <x v="0"/>
    <s v="West"/>
    <x v="1"/>
    <x v="1"/>
    <x v="1"/>
    <n v="1"/>
    <n v="0"/>
    <n v="0"/>
    <x v="0"/>
    <n v="0"/>
    <n v="0"/>
    <n v="0"/>
    <n v="0"/>
    <n v="48.6"/>
  </r>
  <r>
    <x v="2"/>
    <d v="2025-04-24T00:00:00"/>
    <x v="0"/>
    <s v="East"/>
    <x v="1"/>
    <x v="2"/>
    <x v="2"/>
    <n v="1"/>
    <n v="0"/>
    <n v="0"/>
    <x v="0"/>
    <n v="0"/>
    <n v="1"/>
    <n v="0"/>
    <n v="0"/>
    <n v="35.4"/>
  </r>
  <r>
    <x v="3"/>
    <d v="2025-05-04T00:00:00"/>
    <x v="0"/>
    <s v="South"/>
    <x v="1"/>
    <x v="0"/>
    <x v="0"/>
    <n v="1"/>
    <n v="0"/>
    <n v="0"/>
    <x v="0"/>
    <n v="0"/>
    <n v="0"/>
    <n v="0"/>
    <n v="0"/>
    <n v="64.599999999999994"/>
  </r>
  <r>
    <x v="4"/>
    <d v="2025-02-12T00:00:00"/>
    <x v="0"/>
    <s v="North"/>
    <x v="2"/>
    <x v="1"/>
    <x v="1"/>
    <n v="0"/>
    <n v="0"/>
    <n v="0"/>
    <x v="0"/>
    <n v="0"/>
    <n v="0"/>
    <n v="0"/>
    <n v="0"/>
    <n v="66.599999999999994"/>
  </r>
  <r>
    <x v="5"/>
    <d v="2025-01-28T00:00:00"/>
    <x v="0"/>
    <s v="East"/>
    <x v="1"/>
    <x v="1"/>
    <x v="2"/>
    <n v="1"/>
    <n v="0"/>
    <n v="0"/>
    <x v="0"/>
    <n v="0"/>
    <n v="0"/>
    <n v="0"/>
    <n v="0"/>
    <n v="40.799999999999997"/>
  </r>
  <r>
    <x v="6"/>
    <d v="2025-04-08T00:00:00"/>
    <x v="0"/>
    <s v="East"/>
    <x v="1"/>
    <x v="2"/>
    <x v="0"/>
    <n v="1"/>
    <n v="1"/>
    <n v="0"/>
    <x v="0"/>
    <n v="0"/>
    <n v="0"/>
    <n v="0"/>
    <n v="0"/>
    <n v="57.1"/>
  </r>
  <r>
    <x v="7"/>
    <d v="2025-05-17T00:00:00"/>
    <x v="0"/>
    <s v="South"/>
    <x v="1"/>
    <x v="2"/>
    <x v="1"/>
    <n v="0"/>
    <n v="0"/>
    <n v="0"/>
    <x v="0"/>
    <n v="0"/>
    <n v="0"/>
    <n v="0"/>
    <n v="0"/>
    <n v="36.4"/>
  </r>
  <r>
    <x v="8"/>
    <d v="2025-02-23T00:00:00"/>
    <x v="0"/>
    <s v="South"/>
    <x v="2"/>
    <x v="3"/>
    <x v="0"/>
    <n v="0"/>
    <n v="0"/>
    <n v="0"/>
    <x v="0"/>
    <n v="0"/>
    <n v="0"/>
    <n v="0"/>
    <n v="0"/>
    <n v="55.4"/>
  </r>
  <r>
    <x v="9"/>
    <d v="2025-05-29T00:00:00"/>
    <x v="0"/>
    <s v="West"/>
    <x v="0"/>
    <x v="4"/>
    <x v="1"/>
    <n v="1"/>
    <n v="0"/>
    <n v="0"/>
    <x v="0"/>
    <n v="0"/>
    <n v="0"/>
    <n v="0"/>
    <n v="0"/>
    <n v="57.3"/>
  </r>
  <r>
    <x v="10"/>
    <d v="2025-04-30T00:00:00"/>
    <x v="0"/>
    <s v="East"/>
    <x v="1"/>
    <x v="2"/>
    <x v="0"/>
    <n v="1"/>
    <n v="1"/>
    <n v="1"/>
    <x v="0"/>
    <n v="0"/>
    <n v="0"/>
    <n v="0"/>
    <n v="0"/>
    <n v="63.6"/>
  </r>
  <r>
    <x v="11"/>
    <d v="2025-03-16T00:00:00"/>
    <x v="0"/>
    <s v="East"/>
    <x v="1"/>
    <x v="4"/>
    <x v="2"/>
    <n v="1"/>
    <n v="1"/>
    <n v="1"/>
    <x v="0"/>
    <n v="0"/>
    <n v="1"/>
    <n v="0"/>
    <n v="0"/>
    <n v="80.400000000000006"/>
  </r>
  <r>
    <x v="12"/>
    <d v="2025-02-07T00:00:00"/>
    <x v="0"/>
    <s v="South"/>
    <x v="0"/>
    <x v="0"/>
    <x v="0"/>
    <n v="1"/>
    <n v="0"/>
    <n v="0"/>
    <x v="0"/>
    <n v="0"/>
    <n v="0"/>
    <n v="0"/>
    <n v="0"/>
    <n v="62.4"/>
  </r>
  <r>
    <x v="13"/>
    <d v="2025-03-02T00:00:00"/>
    <x v="0"/>
    <s v="West"/>
    <x v="1"/>
    <x v="4"/>
    <x v="0"/>
    <n v="1"/>
    <n v="0"/>
    <n v="0"/>
    <x v="0"/>
    <n v="0"/>
    <n v="0"/>
    <n v="0"/>
    <n v="0"/>
    <n v="82.4"/>
  </r>
  <r>
    <x v="14"/>
    <d v="2025-05-30T00:00:00"/>
    <x v="0"/>
    <s v="South"/>
    <x v="1"/>
    <x v="1"/>
    <x v="0"/>
    <n v="0"/>
    <n v="0"/>
    <n v="0"/>
    <x v="0"/>
    <n v="0"/>
    <n v="0"/>
    <n v="0"/>
    <n v="0"/>
    <n v="61.2"/>
  </r>
  <r>
    <x v="15"/>
    <d v="2025-03-25T00:00:00"/>
    <x v="0"/>
    <s v="South"/>
    <x v="1"/>
    <x v="4"/>
    <x v="0"/>
    <n v="1"/>
    <n v="0"/>
    <n v="0"/>
    <x v="0"/>
    <n v="0"/>
    <n v="0"/>
    <n v="0"/>
    <n v="0"/>
    <n v="68.900000000000006"/>
  </r>
  <r>
    <x v="16"/>
    <d v="2025-03-27T00:00:00"/>
    <x v="0"/>
    <s v="East"/>
    <x v="0"/>
    <x v="2"/>
    <x v="1"/>
    <n v="1"/>
    <n v="1"/>
    <n v="1"/>
    <x v="0"/>
    <n v="0"/>
    <n v="0"/>
    <n v="0"/>
    <n v="0"/>
    <n v="71.900000000000006"/>
  </r>
  <r>
    <x v="17"/>
    <d v="2025-05-28T00:00:00"/>
    <x v="0"/>
    <s v="South"/>
    <x v="0"/>
    <x v="2"/>
    <x v="1"/>
    <n v="0"/>
    <n v="0"/>
    <n v="0"/>
    <x v="0"/>
    <n v="0"/>
    <n v="0"/>
    <n v="0"/>
    <n v="0"/>
    <n v="50.5"/>
  </r>
  <r>
    <x v="18"/>
    <d v="2025-02-15T00:00:00"/>
    <x v="0"/>
    <s v="North"/>
    <x v="0"/>
    <x v="2"/>
    <x v="0"/>
    <n v="0"/>
    <n v="0"/>
    <n v="0"/>
    <x v="0"/>
    <n v="0"/>
    <n v="0"/>
    <n v="0"/>
    <n v="0"/>
    <n v="49.3"/>
  </r>
  <r>
    <x v="19"/>
    <d v="2025-05-05T00:00:00"/>
    <x v="0"/>
    <s v="West"/>
    <x v="0"/>
    <x v="1"/>
    <x v="0"/>
    <n v="0"/>
    <n v="0"/>
    <n v="0"/>
    <x v="0"/>
    <n v="0"/>
    <n v="2"/>
    <n v="0"/>
    <n v="0"/>
    <n v="60.9"/>
  </r>
  <r>
    <x v="20"/>
    <d v="2025-04-13T00:00:00"/>
    <x v="0"/>
    <s v="East"/>
    <x v="1"/>
    <x v="4"/>
    <x v="1"/>
    <n v="1"/>
    <n v="0"/>
    <n v="0"/>
    <x v="0"/>
    <n v="0"/>
    <n v="0"/>
    <n v="0"/>
    <n v="0"/>
    <n v="62.7"/>
  </r>
  <r>
    <x v="21"/>
    <d v="2025-05-07T00:00:00"/>
    <x v="0"/>
    <s v="North"/>
    <x v="0"/>
    <x v="2"/>
    <x v="1"/>
    <n v="0"/>
    <n v="0"/>
    <n v="0"/>
    <x v="0"/>
    <n v="0"/>
    <n v="0"/>
    <n v="0"/>
    <n v="0"/>
    <n v="52.7"/>
  </r>
  <r>
    <x v="22"/>
    <d v="2025-05-25T00:00:00"/>
    <x v="0"/>
    <s v="North"/>
    <x v="0"/>
    <x v="1"/>
    <x v="1"/>
    <n v="0"/>
    <n v="0"/>
    <n v="0"/>
    <x v="0"/>
    <n v="0"/>
    <n v="0"/>
    <n v="0"/>
    <n v="0"/>
    <n v="54"/>
  </r>
  <r>
    <x v="23"/>
    <d v="2025-04-01T00:00:00"/>
    <x v="0"/>
    <s v="East"/>
    <x v="1"/>
    <x v="2"/>
    <x v="2"/>
    <n v="1"/>
    <n v="1"/>
    <n v="0"/>
    <x v="0"/>
    <n v="0"/>
    <n v="0"/>
    <n v="0"/>
    <n v="0"/>
    <n v="51.6"/>
  </r>
  <r>
    <x v="24"/>
    <d v="2025-02-22T00:00:00"/>
    <x v="0"/>
    <s v="North"/>
    <x v="1"/>
    <x v="2"/>
    <x v="2"/>
    <n v="0"/>
    <n v="0"/>
    <n v="0"/>
    <x v="0"/>
    <n v="0"/>
    <n v="2"/>
    <n v="0"/>
    <n v="0"/>
    <n v="66.900000000000006"/>
  </r>
  <r>
    <x v="25"/>
    <d v="2025-03-24T00:00:00"/>
    <x v="0"/>
    <s v="East"/>
    <x v="1"/>
    <x v="1"/>
    <x v="0"/>
    <n v="0"/>
    <n v="0"/>
    <n v="0"/>
    <x v="0"/>
    <n v="0"/>
    <n v="0"/>
    <n v="0"/>
    <n v="0"/>
    <n v="67.400000000000006"/>
  </r>
  <r>
    <x v="26"/>
    <d v="2025-02-13T00:00:00"/>
    <x v="0"/>
    <s v="North"/>
    <x v="1"/>
    <x v="1"/>
    <x v="1"/>
    <n v="0"/>
    <n v="0"/>
    <n v="0"/>
    <x v="0"/>
    <n v="0"/>
    <n v="0"/>
    <n v="0"/>
    <n v="0"/>
    <n v="58.8"/>
  </r>
  <r>
    <x v="27"/>
    <d v="2025-05-30T00:00:00"/>
    <x v="0"/>
    <s v="South"/>
    <x v="1"/>
    <x v="1"/>
    <x v="1"/>
    <n v="1"/>
    <n v="0"/>
    <n v="0"/>
    <x v="0"/>
    <n v="0"/>
    <n v="0"/>
    <n v="0"/>
    <n v="0"/>
    <n v="73.8"/>
  </r>
  <r>
    <x v="28"/>
    <d v="2025-01-20T00:00:00"/>
    <x v="0"/>
    <s v="East"/>
    <x v="2"/>
    <x v="1"/>
    <x v="0"/>
    <n v="0"/>
    <n v="0"/>
    <n v="0"/>
    <x v="0"/>
    <n v="0"/>
    <n v="0"/>
    <n v="0"/>
    <n v="0"/>
    <n v="60.1"/>
  </r>
  <r>
    <x v="29"/>
    <d v="2025-05-19T00:00:00"/>
    <x v="0"/>
    <s v="East"/>
    <x v="1"/>
    <x v="4"/>
    <x v="0"/>
    <n v="1"/>
    <n v="1"/>
    <n v="1"/>
    <x v="0"/>
    <n v="0"/>
    <n v="0"/>
    <n v="0"/>
    <n v="0"/>
    <n v="41"/>
  </r>
  <r>
    <x v="30"/>
    <d v="2025-02-18T00:00:00"/>
    <x v="0"/>
    <s v="South"/>
    <x v="1"/>
    <x v="1"/>
    <x v="0"/>
    <n v="1"/>
    <n v="0"/>
    <n v="0"/>
    <x v="0"/>
    <n v="0"/>
    <n v="0"/>
    <n v="0"/>
    <n v="0"/>
    <n v="80.3"/>
  </r>
  <r>
    <x v="31"/>
    <d v="2025-02-13T00:00:00"/>
    <x v="0"/>
    <s v="East"/>
    <x v="1"/>
    <x v="1"/>
    <x v="1"/>
    <n v="0"/>
    <n v="0"/>
    <n v="0"/>
    <x v="0"/>
    <n v="0"/>
    <n v="0"/>
    <n v="0"/>
    <n v="0"/>
    <n v="67.599999999999994"/>
  </r>
  <r>
    <x v="32"/>
    <d v="2025-03-08T00:00:00"/>
    <x v="0"/>
    <s v="East"/>
    <x v="0"/>
    <x v="3"/>
    <x v="2"/>
    <n v="0"/>
    <n v="0"/>
    <n v="0"/>
    <x v="0"/>
    <n v="0"/>
    <n v="0"/>
    <n v="0"/>
    <n v="0"/>
    <n v="64"/>
  </r>
  <r>
    <x v="33"/>
    <d v="2025-01-11T00:00:00"/>
    <x v="0"/>
    <s v="North"/>
    <x v="1"/>
    <x v="2"/>
    <x v="1"/>
    <n v="1"/>
    <n v="1"/>
    <n v="0"/>
    <x v="0"/>
    <n v="0"/>
    <n v="0"/>
    <n v="0"/>
    <n v="0"/>
    <n v="27.2"/>
  </r>
  <r>
    <x v="34"/>
    <d v="2025-02-12T00:00:00"/>
    <x v="0"/>
    <s v="North"/>
    <x v="0"/>
    <x v="1"/>
    <x v="1"/>
    <n v="1"/>
    <n v="0"/>
    <n v="0"/>
    <x v="0"/>
    <n v="0"/>
    <n v="0"/>
    <n v="0"/>
    <n v="0"/>
    <n v="85.4"/>
  </r>
  <r>
    <x v="35"/>
    <d v="2025-04-13T00:00:00"/>
    <x v="0"/>
    <s v="East"/>
    <x v="0"/>
    <x v="1"/>
    <x v="0"/>
    <n v="1"/>
    <n v="0"/>
    <n v="0"/>
    <x v="0"/>
    <n v="0"/>
    <n v="0"/>
    <n v="0"/>
    <n v="0"/>
    <n v="75.900000000000006"/>
  </r>
  <r>
    <x v="36"/>
    <d v="2025-05-09T00:00:00"/>
    <x v="0"/>
    <s v="East"/>
    <x v="1"/>
    <x v="1"/>
    <x v="2"/>
    <n v="1"/>
    <n v="0"/>
    <n v="0"/>
    <x v="0"/>
    <n v="0"/>
    <n v="1"/>
    <n v="0"/>
    <n v="0"/>
    <n v="34.799999999999997"/>
  </r>
  <r>
    <x v="37"/>
    <d v="2025-01-20T00:00:00"/>
    <x v="0"/>
    <s v="East"/>
    <x v="1"/>
    <x v="1"/>
    <x v="1"/>
    <n v="1"/>
    <n v="1"/>
    <n v="1"/>
    <x v="0"/>
    <n v="0"/>
    <n v="3"/>
    <n v="0"/>
    <n v="0"/>
    <n v="48.9"/>
  </r>
  <r>
    <x v="38"/>
    <d v="2025-05-13T00:00:00"/>
    <x v="0"/>
    <s v="East"/>
    <x v="1"/>
    <x v="0"/>
    <x v="2"/>
    <n v="1"/>
    <n v="0"/>
    <n v="0"/>
    <x v="0"/>
    <n v="0"/>
    <n v="0"/>
    <n v="0"/>
    <n v="0"/>
    <n v="41.5"/>
  </r>
  <r>
    <x v="39"/>
    <d v="2025-04-07T00:00:00"/>
    <x v="0"/>
    <s v="North"/>
    <x v="0"/>
    <x v="1"/>
    <x v="0"/>
    <n v="1"/>
    <n v="0"/>
    <n v="0"/>
    <x v="0"/>
    <n v="0"/>
    <n v="0"/>
    <n v="0"/>
    <n v="0"/>
    <n v="51.5"/>
  </r>
  <r>
    <x v="40"/>
    <d v="2025-03-31T00:00:00"/>
    <x v="0"/>
    <s v="North"/>
    <x v="0"/>
    <x v="1"/>
    <x v="1"/>
    <n v="0"/>
    <n v="0"/>
    <n v="0"/>
    <x v="0"/>
    <n v="0"/>
    <n v="0"/>
    <n v="0"/>
    <n v="0"/>
    <n v="53.2"/>
  </r>
  <r>
    <x v="41"/>
    <d v="2025-01-25T00:00:00"/>
    <x v="0"/>
    <s v="East"/>
    <x v="1"/>
    <x v="0"/>
    <x v="2"/>
    <n v="0"/>
    <n v="0"/>
    <n v="0"/>
    <x v="0"/>
    <n v="0"/>
    <n v="0"/>
    <n v="0"/>
    <n v="0"/>
    <n v="55.6"/>
  </r>
  <r>
    <x v="42"/>
    <d v="2025-02-14T00:00:00"/>
    <x v="0"/>
    <s v="South"/>
    <x v="0"/>
    <x v="1"/>
    <x v="1"/>
    <n v="0"/>
    <n v="0"/>
    <n v="0"/>
    <x v="0"/>
    <n v="0"/>
    <n v="0"/>
    <n v="0"/>
    <n v="0"/>
    <n v="73"/>
  </r>
  <r>
    <x v="43"/>
    <d v="2025-02-27T00:00:00"/>
    <x v="0"/>
    <s v="East"/>
    <x v="1"/>
    <x v="0"/>
    <x v="1"/>
    <n v="1"/>
    <n v="0"/>
    <n v="0"/>
    <x v="0"/>
    <n v="0"/>
    <n v="0"/>
    <n v="0"/>
    <n v="0"/>
    <n v="65"/>
  </r>
  <r>
    <x v="44"/>
    <d v="2025-03-28T00:00:00"/>
    <x v="0"/>
    <s v="East"/>
    <x v="1"/>
    <x v="4"/>
    <x v="1"/>
    <n v="1"/>
    <n v="0"/>
    <n v="0"/>
    <x v="0"/>
    <n v="0"/>
    <n v="4"/>
    <n v="0"/>
    <n v="0"/>
    <n v="56.3"/>
  </r>
  <r>
    <x v="45"/>
    <d v="2025-05-25T00:00:00"/>
    <x v="0"/>
    <s v="East"/>
    <x v="1"/>
    <x v="3"/>
    <x v="2"/>
    <n v="1"/>
    <n v="0"/>
    <n v="0"/>
    <x v="0"/>
    <n v="0"/>
    <n v="0"/>
    <n v="0"/>
    <n v="0"/>
    <n v="62.4"/>
  </r>
  <r>
    <x v="46"/>
    <d v="2025-05-05T00:00:00"/>
    <x v="0"/>
    <s v="West"/>
    <x v="0"/>
    <x v="1"/>
    <x v="1"/>
    <n v="1"/>
    <n v="1"/>
    <n v="1"/>
    <x v="0"/>
    <n v="0"/>
    <n v="0"/>
    <n v="0"/>
    <n v="0"/>
    <n v="58.1"/>
  </r>
  <r>
    <x v="47"/>
    <d v="2025-05-16T00:00:00"/>
    <x v="0"/>
    <s v="North"/>
    <x v="1"/>
    <x v="1"/>
    <x v="1"/>
    <n v="1"/>
    <n v="1"/>
    <n v="1"/>
    <x v="0"/>
    <n v="0"/>
    <n v="0"/>
    <n v="0"/>
    <n v="0"/>
    <n v="80.8"/>
  </r>
  <r>
    <x v="48"/>
    <d v="2025-01-08T00:00:00"/>
    <x v="0"/>
    <s v="North"/>
    <x v="1"/>
    <x v="4"/>
    <x v="1"/>
    <n v="1"/>
    <n v="1"/>
    <n v="0"/>
    <x v="0"/>
    <n v="0"/>
    <n v="0"/>
    <n v="0"/>
    <n v="0"/>
    <n v="42.9"/>
  </r>
  <r>
    <x v="49"/>
    <d v="2025-01-06T00:00:00"/>
    <x v="0"/>
    <s v="West"/>
    <x v="0"/>
    <x v="2"/>
    <x v="1"/>
    <n v="1"/>
    <n v="0"/>
    <n v="0"/>
    <x v="0"/>
    <n v="0"/>
    <n v="0"/>
    <n v="0"/>
    <n v="0"/>
    <n v="52.7"/>
  </r>
  <r>
    <x v="50"/>
    <d v="2025-01-12T00:00:00"/>
    <x v="0"/>
    <s v="North"/>
    <x v="1"/>
    <x v="4"/>
    <x v="0"/>
    <n v="0"/>
    <n v="0"/>
    <n v="0"/>
    <x v="0"/>
    <n v="0"/>
    <n v="0"/>
    <n v="0"/>
    <n v="0"/>
    <n v="46.9"/>
  </r>
  <r>
    <x v="51"/>
    <d v="2025-02-14T00:00:00"/>
    <x v="0"/>
    <s v="East"/>
    <x v="0"/>
    <x v="0"/>
    <x v="2"/>
    <n v="1"/>
    <n v="0"/>
    <n v="0"/>
    <x v="0"/>
    <n v="0"/>
    <n v="0"/>
    <n v="0"/>
    <n v="0"/>
    <n v="63"/>
  </r>
  <r>
    <x v="52"/>
    <d v="2025-03-10T00:00:00"/>
    <x v="0"/>
    <s v="South"/>
    <x v="2"/>
    <x v="1"/>
    <x v="1"/>
    <n v="0"/>
    <n v="0"/>
    <n v="0"/>
    <x v="0"/>
    <n v="0"/>
    <n v="0"/>
    <n v="0"/>
    <n v="0"/>
    <n v="53.6"/>
  </r>
  <r>
    <x v="53"/>
    <d v="2025-04-20T00:00:00"/>
    <x v="0"/>
    <s v="West"/>
    <x v="0"/>
    <x v="1"/>
    <x v="0"/>
    <n v="0"/>
    <n v="0"/>
    <n v="0"/>
    <x v="0"/>
    <n v="0"/>
    <n v="0"/>
    <n v="0"/>
    <n v="0"/>
    <n v="49.6"/>
  </r>
  <r>
    <x v="54"/>
    <d v="2025-02-19T00:00:00"/>
    <x v="0"/>
    <s v="South"/>
    <x v="1"/>
    <x v="1"/>
    <x v="1"/>
    <n v="0"/>
    <n v="0"/>
    <n v="0"/>
    <x v="0"/>
    <n v="0"/>
    <n v="0"/>
    <n v="0"/>
    <n v="0"/>
    <n v="54"/>
  </r>
  <r>
    <x v="55"/>
    <d v="2025-05-17T00:00:00"/>
    <x v="0"/>
    <s v="South"/>
    <x v="1"/>
    <x v="4"/>
    <x v="0"/>
    <n v="1"/>
    <n v="0"/>
    <n v="0"/>
    <x v="0"/>
    <n v="0"/>
    <n v="2"/>
    <n v="0"/>
    <n v="0"/>
    <n v="50"/>
  </r>
  <r>
    <x v="56"/>
    <d v="2025-04-01T00:00:00"/>
    <x v="0"/>
    <s v="East"/>
    <x v="1"/>
    <x v="4"/>
    <x v="0"/>
    <n v="0"/>
    <n v="0"/>
    <n v="0"/>
    <x v="0"/>
    <n v="0"/>
    <n v="0"/>
    <n v="0"/>
    <n v="0"/>
    <n v="48.1"/>
  </r>
  <r>
    <x v="57"/>
    <d v="2025-02-04T00:00:00"/>
    <x v="0"/>
    <s v="North"/>
    <x v="0"/>
    <x v="1"/>
    <x v="1"/>
    <n v="1"/>
    <n v="0"/>
    <n v="0"/>
    <x v="0"/>
    <n v="0"/>
    <n v="0"/>
    <n v="0"/>
    <n v="0"/>
    <n v="49.6"/>
  </r>
  <r>
    <x v="58"/>
    <d v="2025-04-14T00:00:00"/>
    <x v="0"/>
    <s v="North"/>
    <x v="1"/>
    <x v="4"/>
    <x v="1"/>
    <n v="0"/>
    <n v="0"/>
    <n v="0"/>
    <x v="0"/>
    <n v="0"/>
    <n v="2"/>
    <n v="0"/>
    <n v="0"/>
    <n v="48.9"/>
  </r>
  <r>
    <x v="59"/>
    <d v="2025-01-01T00:00:00"/>
    <x v="0"/>
    <s v="West"/>
    <x v="1"/>
    <x v="4"/>
    <x v="1"/>
    <n v="1"/>
    <n v="1"/>
    <n v="1"/>
    <x v="1"/>
    <n v="240.42"/>
    <n v="0"/>
    <n v="0"/>
    <n v="16"/>
    <n v="56.5"/>
  </r>
  <r>
    <x v="60"/>
    <d v="2025-04-02T00:00:00"/>
    <x v="0"/>
    <s v="South"/>
    <x v="1"/>
    <x v="3"/>
    <x v="1"/>
    <n v="1"/>
    <n v="0"/>
    <n v="0"/>
    <x v="0"/>
    <n v="0"/>
    <n v="0"/>
    <n v="0"/>
    <n v="0"/>
    <n v="53.7"/>
  </r>
  <r>
    <x v="61"/>
    <d v="2025-03-29T00:00:00"/>
    <x v="0"/>
    <s v="North"/>
    <x v="1"/>
    <x v="4"/>
    <x v="2"/>
    <n v="0"/>
    <n v="0"/>
    <n v="0"/>
    <x v="0"/>
    <n v="0"/>
    <n v="0"/>
    <n v="0"/>
    <n v="0"/>
    <n v="62.2"/>
  </r>
  <r>
    <x v="62"/>
    <d v="2025-05-15T00:00:00"/>
    <x v="0"/>
    <s v="South"/>
    <x v="0"/>
    <x v="1"/>
    <x v="1"/>
    <n v="1"/>
    <n v="0"/>
    <n v="0"/>
    <x v="0"/>
    <n v="0"/>
    <n v="0"/>
    <n v="0"/>
    <n v="0"/>
    <n v="50.2"/>
  </r>
  <r>
    <x v="63"/>
    <d v="2025-04-11T00:00:00"/>
    <x v="0"/>
    <s v="North"/>
    <x v="1"/>
    <x v="1"/>
    <x v="0"/>
    <n v="1"/>
    <n v="0"/>
    <n v="0"/>
    <x v="0"/>
    <n v="0"/>
    <n v="0"/>
    <n v="0"/>
    <n v="0"/>
    <n v="74.3"/>
  </r>
  <r>
    <x v="64"/>
    <d v="2025-03-07T00:00:00"/>
    <x v="0"/>
    <s v="South"/>
    <x v="0"/>
    <x v="2"/>
    <x v="1"/>
    <n v="1"/>
    <n v="0"/>
    <n v="0"/>
    <x v="0"/>
    <n v="0"/>
    <n v="0"/>
    <n v="0"/>
    <n v="0"/>
    <n v="58"/>
  </r>
  <r>
    <x v="65"/>
    <d v="2025-05-30T00:00:00"/>
    <x v="0"/>
    <s v="South"/>
    <x v="1"/>
    <x v="1"/>
    <x v="1"/>
    <n v="0"/>
    <n v="0"/>
    <n v="0"/>
    <x v="0"/>
    <n v="0"/>
    <n v="0"/>
    <n v="0"/>
    <n v="0"/>
    <n v="46.7"/>
  </r>
  <r>
    <x v="66"/>
    <d v="2025-01-07T00:00:00"/>
    <x v="0"/>
    <s v="South"/>
    <x v="0"/>
    <x v="1"/>
    <x v="2"/>
    <n v="1"/>
    <n v="0"/>
    <n v="0"/>
    <x v="0"/>
    <n v="0"/>
    <n v="1"/>
    <n v="0"/>
    <n v="0"/>
    <n v="49.6"/>
  </r>
  <r>
    <x v="67"/>
    <d v="2025-05-08T00:00:00"/>
    <x v="0"/>
    <s v="West"/>
    <x v="1"/>
    <x v="4"/>
    <x v="1"/>
    <n v="0"/>
    <n v="0"/>
    <n v="0"/>
    <x v="0"/>
    <n v="0"/>
    <n v="0"/>
    <n v="0"/>
    <n v="0"/>
    <n v="60.4"/>
  </r>
  <r>
    <x v="68"/>
    <d v="2025-03-19T00:00:00"/>
    <x v="0"/>
    <s v="East"/>
    <x v="0"/>
    <x v="0"/>
    <x v="1"/>
    <n v="1"/>
    <n v="1"/>
    <n v="1"/>
    <x v="0"/>
    <n v="0"/>
    <n v="0"/>
    <n v="0"/>
    <n v="0"/>
    <n v="55.3"/>
  </r>
  <r>
    <x v="69"/>
    <d v="2025-05-16T00:00:00"/>
    <x v="0"/>
    <s v="North"/>
    <x v="0"/>
    <x v="1"/>
    <x v="1"/>
    <n v="0"/>
    <n v="0"/>
    <n v="0"/>
    <x v="0"/>
    <n v="0"/>
    <n v="0"/>
    <n v="0"/>
    <n v="0"/>
    <n v="56.2"/>
  </r>
  <r>
    <x v="70"/>
    <d v="2025-03-08T00:00:00"/>
    <x v="0"/>
    <s v="West"/>
    <x v="1"/>
    <x v="0"/>
    <x v="1"/>
    <n v="0"/>
    <n v="0"/>
    <n v="0"/>
    <x v="0"/>
    <n v="0"/>
    <n v="0"/>
    <n v="0"/>
    <n v="0"/>
    <n v="29.4"/>
  </r>
  <r>
    <x v="71"/>
    <d v="2025-03-08T00:00:00"/>
    <x v="0"/>
    <s v="East"/>
    <x v="1"/>
    <x v="0"/>
    <x v="1"/>
    <n v="1"/>
    <n v="0"/>
    <n v="0"/>
    <x v="0"/>
    <n v="0"/>
    <n v="0"/>
    <n v="0"/>
    <n v="0"/>
    <n v="54.2"/>
  </r>
  <r>
    <x v="72"/>
    <d v="2025-01-14T00:00:00"/>
    <x v="0"/>
    <s v="East"/>
    <x v="0"/>
    <x v="2"/>
    <x v="0"/>
    <n v="0"/>
    <n v="0"/>
    <n v="0"/>
    <x v="0"/>
    <n v="0"/>
    <n v="0"/>
    <n v="0"/>
    <n v="0"/>
    <n v="46.4"/>
  </r>
  <r>
    <x v="73"/>
    <d v="2025-02-10T00:00:00"/>
    <x v="0"/>
    <s v="South"/>
    <x v="1"/>
    <x v="2"/>
    <x v="0"/>
    <n v="0"/>
    <n v="0"/>
    <n v="0"/>
    <x v="0"/>
    <n v="0"/>
    <n v="0"/>
    <n v="0"/>
    <n v="0"/>
    <n v="54.5"/>
  </r>
  <r>
    <x v="74"/>
    <d v="2025-03-17T00:00:00"/>
    <x v="0"/>
    <s v="North"/>
    <x v="1"/>
    <x v="1"/>
    <x v="1"/>
    <n v="0"/>
    <n v="0"/>
    <n v="0"/>
    <x v="0"/>
    <n v="0"/>
    <n v="0"/>
    <n v="0"/>
    <n v="0"/>
    <n v="58.5"/>
  </r>
  <r>
    <x v="75"/>
    <d v="2025-01-09T00:00:00"/>
    <x v="0"/>
    <s v="South"/>
    <x v="1"/>
    <x v="0"/>
    <x v="1"/>
    <n v="0"/>
    <n v="0"/>
    <n v="0"/>
    <x v="0"/>
    <n v="0"/>
    <n v="0"/>
    <n v="0"/>
    <n v="0"/>
    <n v="75.900000000000006"/>
  </r>
  <r>
    <x v="76"/>
    <d v="2025-04-17T00:00:00"/>
    <x v="0"/>
    <s v="North"/>
    <x v="1"/>
    <x v="3"/>
    <x v="1"/>
    <n v="0"/>
    <n v="0"/>
    <n v="0"/>
    <x v="0"/>
    <n v="0"/>
    <n v="1"/>
    <n v="0"/>
    <n v="0"/>
    <n v="84.9"/>
  </r>
  <r>
    <x v="77"/>
    <d v="2025-01-16T00:00:00"/>
    <x v="0"/>
    <s v="North"/>
    <x v="1"/>
    <x v="1"/>
    <x v="1"/>
    <n v="0"/>
    <n v="0"/>
    <n v="0"/>
    <x v="0"/>
    <n v="0"/>
    <n v="2"/>
    <n v="0"/>
    <n v="0"/>
    <n v="48.4"/>
  </r>
  <r>
    <x v="78"/>
    <d v="2025-02-20T00:00:00"/>
    <x v="0"/>
    <s v="West"/>
    <x v="0"/>
    <x v="1"/>
    <x v="1"/>
    <n v="1"/>
    <n v="1"/>
    <n v="1"/>
    <x v="1"/>
    <n v="457.51"/>
    <n v="0"/>
    <n v="0"/>
    <n v="7"/>
    <n v="38"/>
  </r>
  <r>
    <x v="79"/>
    <d v="2025-05-21T00:00:00"/>
    <x v="0"/>
    <s v="East"/>
    <x v="1"/>
    <x v="4"/>
    <x v="1"/>
    <n v="1"/>
    <n v="0"/>
    <n v="0"/>
    <x v="0"/>
    <n v="0"/>
    <n v="0"/>
    <n v="0"/>
    <n v="0"/>
    <n v="44.2"/>
  </r>
  <r>
    <x v="80"/>
    <d v="2025-05-08T00:00:00"/>
    <x v="0"/>
    <s v="South"/>
    <x v="1"/>
    <x v="1"/>
    <x v="1"/>
    <n v="1"/>
    <n v="1"/>
    <n v="1"/>
    <x v="0"/>
    <n v="0"/>
    <n v="0"/>
    <n v="0"/>
    <n v="0"/>
    <n v="81.2"/>
  </r>
  <r>
    <x v="81"/>
    <d v="2025-03-08T00:00:00"/>
    <x v="0"/>
    <s v="South"/>
    <x v="1"/>
    <x v="3"/>
    <x v="1"/>
    <n v="1"/>
    <n v="1"/>
    <n v="0"/>
    <x v="0"/>
    <n v="0"/>
    <n v="0"/>
    <n v="0"/>
    <n v="0"/>
    <n v="63.8"/>
  </r>
  <r>
    <x v="82"/>
    <d v="2025-04-01T00:00:00"/>
    <x v="0"/>
    <s v="South"/>
    <x v="0"/>
    <x v="0"/>
    <x v="1"/>
    <n v="0"/>
    <n v="0"/>
    <n v="0"/>
    <x v="0"/>
    <n v="0"/>
    <n v="0"/>
    <n v="0"/>
    <n v="0"/>
    <n v="64.7"/>
  </r>
  <r>
    <x v="83"/>
    <d v="2025-03-03T00:00:00"/>
    <x v="0"/>
    <s v="West"/>
    <x v="1"/>
    <x v="4"/>
    <x v="0"/>
    <n v="0"/>
    <n v="0"/>
    <n v="0"/>
    <x v="0"/>
    <n v="0"/>
    <n v="0"/>
    <n v="0"/>
    <n v="0"/>
    <n v="60.4"/>
  </r>
  <r>
    <x v="84"/>
    <d v="2025-04-16T00:00:00"/>
    <x v="0"/>
    <s v="South"/>
    <x v="1"/>
    <x v="2"/>
    <x v="1"/>
    <n v="0"/>
    <n v="0"/>
    <n v="0"/>
    <x v="0"/>
    <n v="0"/>
    <n v="0"/>
    <n v="0"/>
    <n v="0"/>
    <n v="66.599999999999994"/>
  </r>
  <r>
    <x v="85"/>
    <d v="2025-01-09T00:00:00"/>
    <x v="0"/>
    <s v="North"/>
    <x v="0"/>
    <x v="1"/>
    <x v="1"/>
    <n v="1"/>
    <n v="0"/>
    <n v="0"/>
    <x v="0"/>
    <n v="0"/>
    <n v="0"/>
    <n v="0"/>
    <n v="0"/>
    <n v="50.9"/>
  </r>
  <r>
    <x v="86"/>
    <d v="2025-01-22T00:00:00"/>
    <x v="0"/>
    <s v="West"/>
    <x v="0"/>
    <x v="4"/>
    <x v="0"/>
    <n v="0"/>
    <n v="0"/>
    <n v="0"/>
    <x v="0"/>
    <n v="0"/>
    <n v="0"/>
    <n v="0"/>
    <n v="0"/>
    <n v="51"/>
  </r>
  <r>
    <x v="87"/>
    <d v="2025-04-30T00:00:00"/>
    <x v="0"/>
    <s v="South"/>
    <x v="1"/>
    <x v="0"/>
    <x v="2"/>
    <n v="0"/>
    <n v="0"/>
    <n v="0"/>
    <x v="0"/>
    <n v="0"/>
    <n v="0"/>
    <n v="0"/>
    <n v="0"/>
    <n v="65.8"/>
  </r>
  <r>
    <x v="88"/>
    <d v="2025-04-25T00:00:00"/>
    <x v="0"/>
    <s v="North"/>
    <x v="1"/>
    <x v="3"/>
    <x v="0"/>
    <n v="1"/>
    <n v="0"/>
    <n v="0"/>
    <x v="0"/>
    <n v="0"/>
    <n v="0"/>
    <n v="0"/>
    <n v="0"/>
    <n v="61.8"/>
  </r>
  <r>
    <x v="89"/>
    <d v="2025-02-01T00:00:00"/>
    <x v="0"/>
    <s v="North"/>
    <x v="1"/>
    <x v="1"/>
    <x v="0"/>
    <n v="1"/>
    <n v="0"/>
    <n v="0"/>
    <x v="0"/>
    <n v="0"/>
    <n v="0"/>
    <n v="0"/>
    <n v="0"/>
    <n v="54.5"/>
  </r>
  <r>
    <x v="90"/>
    <d v="2025-04-23T00:00:00"/>
    <x v="0"/>
    <s v="South"/>
    <x v="0"/>
    <x v="1"/>
    <x v="1"/>
    <n v="1"/>
    <n v="0"/>
    <n v="0"/>
    <x v="0"/>
    <n v="0"/>
    <n v="0"/>
    <n v="0"/>
    <n v="0"/>
    <n v="72.2"/>
  </r>
  <r>
    <x v="91"/>
    <d v="2025-02-27T00:00:00"/>
    <x v="0"/>
    <s v="South"/>
    <x v="1"/>
    <x v="4"/>
    <x v="1"/>
    <n v="1"/>
    <n v="0"/>
    <n v="0"/>
    <x v="0"/>
    <n v="0"/>
    <n v="0"/>
    <n v="0"/>
    <n v="0"/>
    <n v="42.3"/>
  </r>
  <r>
    <x v="92"/>
    <d v="2025-04-09T00:00:00"/>
    <x v="0"/>
    <s v="East"/>
    <x v="0"/>
    <x v="1"/>
    <x v="0"/>
    <n v="1"/>
    <n v="0"/>
    <n v="0"/>
    <x v="0"/>
    <n v="0"/>
    <n v="0"/>
    <n v="0"/>
    <n v="0"/>
    <n v="76.2"/>
  </r>
  <r>
    <x v="93"/>
    <d v="2025-05-13T00:00:00"/>
    <x v="0"/>
    <s v="South"/>
    <x v="2"/>
    <x v="1"/>
    <x v="2"/>
    <n v="1"/>
    <n v="1"/>
    <n v="1"/>
    <x v="0"/>
    <n v="0"/>
    <n v="1"/>
    <n v="0"/>
    <n v="0"/>
    <n v="37.4"/>
  </r>
  <r>
    <x v="94"/>
    <d v="2025-04-13T00:00:00"/>
    <x v="0"/>
    <s v="East"/>
    <x v="1"/>
    <x v="1"/>
    <x v="1"/>
    <n v="0"/>
    <n v="0"/>
    <n v="0"/>
    <x v="0"/>
    <n v="0"/>
    <n v="0"/>
    <n v="0"/>
    <n v="0"/>
    <n v="84.2"/>
  </r>
  <r>
    <x v="95"/>
    <d v="2025-02-05T00:00:00"/>
    <x v="0"/>
    <s v="East"/>
    <x v="1"/>
    <x v="4"/>
    <x v="1"/>
    <n v="0"/>
    <n v="0"/>
    <n v="0"/>
    <x v="0"/>
    <n v="0"/>
    <n v="0"/>
    <n v="0"/>
    <n v="0"/>
    <n v="68"/>
  </r>
  <r>
    <x v="96"/>
    <d v="2025-02-14T00:00:00"/>
    <x v="0"/>
    <s v="West"/>
    <x v="1"/>
    <x v="1"/>
    <x v="0"/>
    <n v="1"/>
    <n v="0"/>
    <n v="0"/>
    <x v="0"/>
    <n v="0"/>
    <n v="0"/>
    <n v="0"/>
    <n v="0"/>
    <n v="53.5"/>
  </r>
  <r>
    <x v="97"/>
    <d v="2025-02-11T00:00:00"/>
    <x v="0"/>
    <s v="North"/>
    <x v="0"/>
    <x v="1"/>
    <x v="2"/>
    <n v="1"/>
    <n v="0"/>
    <n v="0"/>
    <x v="0"/>
    <n v="0"/>
    <n v="0"/>
    <n v="0"/>
    <n v="0"/>
    <n v="63.2"/>
  </r>
  <r>
    <x v="98"/>
    <d v="2025-02-11T00:00:00"/>
    <x v="0"/>
    <s v="East"/>
    <x v="0"/>
    <x v="4"/>
    <x v="1"/>
    <n v="1"/>
    <n v="1"/>
    <n v="1"/>
    <x v="1"/>
    <n v="363.32"/>
    <n v="0"/>
    <n v="0"/>
    <n v="9"/>
    <n v="55.9"/>
  </r>
  <r>
    <x v="99"/>
    <d v="2025-05-26T00:00:00"/>
    <x v="0"/>
    <s v="North"/>
    <x v="1"/>
    <x v="1"/>
    <x v="1"/>
    <n v="1"/>
    <n v="0"/>
    <n v="0"/>
    <x v="0"/>
    <n v="0"/>
    <n v="0"/>
    <n v="0"/>
    <n v="0"/>
    <n v="63.5"/>
  </r>
  <r>
    <x v="100"/>
    <d v="2025-03-22T00:00:00"/>
    <x v="0"/>
    <s v="North"/>
    <x v="1"/>
    <x v="2"/>
    <x v="0"/>
    <n v="1"/>
    <n v="0"/>
    <n v="0"/>
    <x v="0"/>
    <n v="0"/>
    <n v="0"/>
    <n v="0"/>
    <n v="0"/>
    <n v="51.5"/>
  </r>
  <r>
    <x v="101"/>
    <d v="2025-04-08T00:00:00"/>
    <x v="0"/>
    <s v="West"/>
    <x v="1"/>
    <x v="2"/>
    <x v="1"/>
    <n v="1"/>
    <n v="0"/>
    <n v="0"/>
    <x v="0"/>
    <n v="0"/>
    <n v="0"/>
    <n v="0"/>
    <n v="0"/>
    <n v="74.400000000000006"/>
  </r>
  <r>
    <x v="102"/>
    <d v="2025-04-14T00:00:00"/>
    <x v="0"/>
    <s v="North"/>
    <x v="0"/>
    <x v="4"/>
    <x v="1"/>
    <n v="1"/>
    <n v="1"/>
    <n v="1"/>
    <x v="1"/>
    <n v="3887.98"/>
    <n v="0"/>
    <n v="0"/>
    <n v="13"/>
    <n v="60.2"/>
  </r>
  <r>
    <x v="103"/>
    <d v="2025-03-27T00:00:00"/>
    <x v="0"/>
    <s v="South"/>
    <x v="1"/>
    <x v="0"/>
    <x v="1"/>
    <n v="1"/>
    <n v="0"/>
    <n v="0"/>
    <x v="0"/>
    <n v="0"/>
    <n v="1"/>
    <n v="0"/>
    <n v="0"/>
    <n v="67.2"/>
  </r>
  <r>
    <x v="104"/>
    <d v="2025-01-05T00:00:00"/>
    <x v="0"/>
    <s v="South"/>
    <x v="1"/>
    <x v="4"/>
    <x v="1"/>
    <n v="1"/>
    <n v="1"/>
    <n v="1"/>
    <x v="0"/>
    <n v="0"/>
    <n v="0"/>
    <n v="0"/>
    <n v="0"/>
    <n v="79.599999999999994"/>
  </r>
  <r>
    <x v="105"/>
    <d v="2025-01-25T00:00:00"/>
    <x v="0"/>
    <s v="South"/>
    <x v="1"/>
    <x v="4"/>
    <x v="0"/>
    <n v="1"/>
    <n v="1"/>
    <n v="1"/>
    <x v="1"/>
    <n v="8610.7199999999993"/>
    <n v="0"/>
    <n v="0"/>
    <n v="6"/>
    <n v="61"/>
  </r>
  <r>
    <x v="106"/>
    <d v="2025-01-23T00:00:00"/>
    <x v="0"/>
    <s v="West"/>
    <x v="1"/>
    <x v="0"/>
    <x v="1"/>
    <n v="1"/>
    <n v="1"/>
    <n v="1"/>
    <x v="0"/>
    <n v="0"/>
    <n v="4"/>
    <n v="0"/>
    <n v="0"/>
    <n v="51.1"/>
  </r>
  <r>
    <x v="107"/>
    <d v="2025-05-25T00:00:00"/>
    <x v="0"/>
    <s v="East"/>
    <x v="0"/>
    <x v="3"/>
    <x v="1"/>
    <n v="1"/>
    <n v="0"/>
    <n v="0"/>
    <x v="0"/>
    <n v="0"/>
    <n v="0"/>
    <n v="0"/>
    <n v="0"/>
    <n v="92.1"/>
  </r>
  <r>
    <x v="108"/>
    <d v="2025-03-22T00:00:00"/>
    <x v="0"/>
    <s v="South"/>
    <x v="1"/>
    <x v="3"/>
    <x v="0"/>
    <n v="0"/>
    <n v="0"/>
    <n v="0"/>
    <x v="0"/>
    <n v="0"/>
    <n v="0"/>
    <n v="0"/>
    <n v="0"/>
    <n v="82.1"/>
  </r>
  <r>
    <x v="109"/>
    <d v="2025-02-12T00:00:00"/>
    <x v="0"/>
    <s v="West"/>
    <x v="0"/>
    <x v="2"/>
    <x v="0"/>
    <n v="1"/>
    <n v="0"/>
    <n v="0"/>
    <x v="0"/>
    <n v="0"/>
    <n v="1"/>
    <n v="0"/>
    <n v="0"/>
    <n v="74"/>
  </r>
  <r>
    <x v="110"/>
    <d v="2025-04-28T00:00:00"/>
    <x v="0"/>
    <s v="West"/>
    <x v="0"/>
    <x v="1"/>
    <x v="0"/>
    <n v="1"/>
    <n v="0"/>
    <n v="0"/>
    <x v="0"/>
    <n v="0"/>
    <n v="0"/>
    <n v="0"/>
    <n v="0"/>
    <n v="63.4"/>
  </r>
  <r>
    <x v="111"/>
    <d v="2025-01-30T00:00:00"/>
    <x v="0"/>
    <s v="North"/>
    <x v="1"/>
    <x v="1"/>
    <x v="0"/>
    <n v="1"/>
    <n v="0"/>
    <n v="0"/>
    <x v="0"/>
    <n v="0"/>
    <n v="0"/>
    <n v="0"/>
    <n v="0"/>
    <n v="53.2"/>
  </r>
  <r>
    <x v="112"/>
    <d v="2025-05-19T00:00:00"/>
    <x v="0"/>
    <s v="East"/>
    <x v="2"/>
    <x v="2"/>
    <x v="1"/>
    <n v="0"/>
    <n v="0"/>
    <n v="0"/>
    <x v="0"/>
    <n v="0"/>
    <n v="0"/>
    <n v="0"/>
    <n v="0"/>
    <n v="48.1"/>
  </r>
  <r>
    <x v="113"/>
    <d v="2025-01-23T00:00:00"/>
    <x v="0"/>
    <s v="South"/>
    <x v="1"/>
    <x v="4"/>
    <x v="1"/>
    <n v="1"/>
    <n v="1"/>
    <n v="0"/>
    <x v="0"/>
    <n v="0"/>
    <n v="0"/>
    <n v="0"/>
    <n v="0"/>
    <n v="61.5"/>
  </r>
  <r>
    <x v="114"/>
    <d v="2025-03-28T00:00:00"/>
    <x v="0"/>
    <s v="East"/>
    <x v="0"/>
    <x v="4"/>
    <x v="1"/>
    <n v="1"/>
    <n v="0"/>
    <n v="0"/>
    <x v="0"/>
    <n v="0"/>
    <n v="0"/>
    <n v="0"/>
    <n v="0"/>
    <n v="63.2"/>
  </r>
  <r>
    <x v="115"/>
    <d v="2025-01-11T00:00:00"/>
    <x v="0"/>
    <s v="West"/>
    <x v="1"/>
    <x v="1"/>
    <x v="1"/>
    <n v="0"/>
    <n v="0"/>
    <n v="0"/>
    <x v="0"/>
    <n v="0"/>
    <n v="0"/>
    <n v="0"/>
    <n v="0"/>
    <n v="71.900000000000006"/>
  </r>
  <r>
    <x v="116"/>
    <d v="2025-04-11T00:00:00"/>
    <x v="0"/>
    <s v="North"/>
    <x v="1"/>
    <x v="3"/>
    <x v="1"/>
    <n v="0"/>
    <n v="0"/>
    <n v="0"/>
    <x v="0"/>
    <n v="0"/>
    <n v="0"/>
    <n v="0"/>
    <n v="0"/>
    <n v="62.7"/>
  </r>
  <r>
    <x v="117"/>
    <d v="2025-01-02T00:00:00"/>
    <x v="0"/>
    <s v="West"/>
    <x v="1"/>
    <x v="2"/>
    <x v="1"/>
    <n v="1"/>
    <n v="0"/>
    <n v="0"/>
    <x v="0"/>
    <n v="0"/>
    <n v="0"/>
    <n v="0"/>
    <n v="0"/>
    <n v="51.5"/>
  </r>
  <r>
    <x v="118"/>
    <d v="2025-03-18T00:00:00"/>
    <x v="0"/>
    <s v="East"/>
    <x v="1"/>
    <x v="4"/>
    <x v="1"/>
    <n v="1"/>
    <n v="1"/>
    <n v="1"/>
    <x v="0"/>
    <n v="0"/>
    <n v="0"/>
    <n v="0"/>
    <n v="0"/>
    <n v="39.1"/>
  </r>
  <r>
    <x v="119"/>
    <d v="2025-03-31T00:00:00"/>
    <x v="0"/>
    <s v="North"/>
    <x v="1"/>
    <x v="0"/>
    <x v="1"/>
    <n v="1"/>
    <n v="0"/>
    <n v="0"/>
    <x v="0"/>
    <n v="0"/>
    <n v="0"/>
    <n v="0"/>
    <n v="0"/>
    <n v="43.8"/>
  </r>
  <r>
    <x v="120"/>
    <d v="2025-01-06T00:00:00"/>
    <x v="0"/>
    <s v="North"/>
    <x v="1"/>
    <x v="2"/>
    <x v="0"/>
    <n v="1"/>
    <n v="0"/>
    <n v="0"/>
    <x v="0"/>
    <n v="0"/>
    <n v="0"/>
    <n v="0"/>
    <n v="0"/>
    <n v="59.9"/>
  </r>
  <r>
    <x v="121"/>
    <d v="2025-01-26T00:00:00"/>
    <x v="0"/>
    <s v="North"/>
    <x v="1"/>
    <x v="3"/>
    <x v="1"/>
    <n v="1"/>
    <n v="1"/>
    <n v="0"/>
    <x v="0"/>
    <n v="0"/>
    <n v="0"/>
    <n v="0"/>
    <n v="0"/>
    <n v="71.400000000000006"/>
  </r>
  <r>
    <x v="122"/>
    <d v="2025-04-22T00:00:00"/>
    <x v="0"/>
    <s v="South"/>
    <x v="1"/>
    <x v="3"/>
    <x v="0"/>
    <n v="0"/>
    <n v="0"/>
    <n v="0"/>
    <x v="0"/>
    <n v="0"/>
    <n v="0"/>
    <n v="0"/>
    <n v="0"/>
    <n v="36.1"/>
  </r>
  <r>
    <x v="123"/>
    <d v="2025-05-30T00:00:00"/>
    <x v="0"/>
    <s v="West"/>
    <x v="3"/>
    <x v="0"/>
    <x v="0"/>
    <n v="1"/>
    <n v="1"/>
    <n v="0"/>
    <x v="0"/>
    <n v="0"/>
    <n v="0"/>
    <n v="0"/>
    <n v="0"/>
    <n v="47.9"/>
  </r>
  <r>
    <x v="124"/>
    <d v="2025-05-18T00:00:00"/>
    <x v="0"/>
    <s v="West"/>
    <x v="0"/>
    <x v="1"/>
    <x v="2"/>
    <n v="1"/>
    <n v="0"/>
    <n v="0"/>
    <x v="0"/>
    <n v="0"/>
    <n v="0"/>
    <n v="0"/>
    <n v="0"/>
    <n v="62.5"/>
  </r>
  <r>
    <x v="125"/>
    <d v="2025-01-13T00:00:00"/>
    <x v="0"/>
    <s v="South"/>
    <x v="0"/>
    <x v="2"/>
    <x v="2"/>
    <n v="1"/>
    <n v="0"/>
    <n v="0"/>
    <x v="0"/>
    <n v="0"/>
    <n v="0"/>
    <n v="0"/>
    <n v="0"/>
    <n v="56.9"/>
  </r>
  <r>
    <x v="126"/>
    <d v="2025-03-25T00:00:00"/>
    <x v="0"/>
    <s v="North"/>
    <x v="0"/>
    <x v="0"/>
    <x v="1"/>
    <n v="0"/>
    <n v="0"/>
    <n v="0"/>
    <x v="0"/>
    <n v="0"/>
    <n v="0"/>
    <n v="0"/>
    <n v="0"/>
    <n v="64.7"/>
  </r>
  <r>
    <x v="127"/>
    <d v="2025-04-29T00:00:00"/>
    <x v="0"/>
    <s v="South"/>
    <x v="0"/>
    <x v="1"/>
    <x v="1"/>
    <n v="1"/>
    <n v="1"/>
    <n v="1"/>
    <x v="0"/>
    <n v="0"/>
    <n v="0"/>
    <n v="0"/>
    <n v="0"/>
    <n v="64"/>
  </r>
  <r>
    <x v="128"/>
    <d v="2025-05-17T00:00:00"/>
    <x v="0"/>
    <s v="East"/>
    <x v="1"/>
    <x v="3"/>
    <x v="0"/>
    <n v="1"/>
    <n v="1"/>
    <n v="1"/>
    <x v="0"/>
    <n v="0"/>
    <n v="0"/>
    <n v="0"/>
    <n v="0"/>
    <n v="75.2"/>
  </r>
  <r>
    <x v="129"/>
    <d v="2025-01-02T00:00:00"/>
    <x v="0"/>
    <s v="North"/>
    <x v="1"/>
    <x v="2"/>
    <x v="1"/>
    <n v="1"/>
    <n v="0"/>
    <n v="0"/>
    <x v="0"/>
    <n v="0"/>
    <n v="1"/>
    <n v="0"/>
    <n v="0"/>
    <n v="79"/>
  </r>
  <r>
    <x v="130"/>
    <d v="2025-02-03T00:00:00"/>
    <x v="0"/>
    <s v="South"/>
    <x v="1"/>
    <x v="1"/>
    <x v="1"/>
    <n v="0"/>
    <n v="0"/>
    <n v="0"/>
    <x v="0"/>
    <n v="0"/>
    <n v="0"/>
    <n v="0"/>
    <n v="0"/>
    <n v="33"/>
  </r>
  <r>
    <x v="131"/>
    <d v="2025-03-04T00:00:00"/>
    <x v="0"/>
    <s v="East"/>
    <x v="1"/>
    <x v="1"/>
    <x v="1"/>
    <n v="1"/>
    <n v="0"/>
    <n v="0"/>
    <x v="0"/>
    <n v="0"/>
    <n v="0"/>
    <n v="0"/>
    <n v="0"/>
    <n v="67.900000000000006"/>
  </r>
  <r>
    <x v="132"/>
    <d v="2025-01-26T00:00:00"/>
    <x v="0"/>
    <s v="South"/>
    <x v="1"/>
    <x v="2"/>
    <x v="0"/>
    <n v="0"/>
    <n v="0"/>
    <n v="0"/>
    <x v="0"/>
    <n v="0"/>
    <n v="0"/>
    <n v="0"/>
    <n v="0"/>
    <n v="42.2"/>
  </r>
  <r>
    <x v="133"/>
    <d v="2025-05-12T00:00:00"/>
    <x v="0"/>
    <s v="West"/>
    <x v="1"/>
    <x v="2"/>
    <x v="0"/>
    <n v="1"/>
    <n v="1"/>
    <n v="1"/>
    <x v="0"/>
    <n v="0"/>
    <n v="0"/>
    <n v="0"/>
    <n v="0"/>
    <n v="43.4"/>
  </r>
  <r>
    <x v="134"/>
    <d v="2025-03-06T00:00:00"/>
    <x v="0"/>
    <s v="North"/>
    <x v="1"/>
    <x v="1"/>
    <x v="0"/>
    <n v="0"/>
    <n v="0"/>
    <n v="0"/>
    <x v="0"/>
    <n v="0"/>
    <n v="0"/>
    <n v="0"/>
    <n v="0"/>
    <n v="54.4"/>
  </r>
  <r>
    <x v="135"/>
    <d v="2025-03-10T00:00:00"/>
    <x v="0"/>
    <s v="South"/>
    <x v="0"/>
    <x v="0"/>
    <x v="2"/>
    <n v="0"/>
    <n v="0"/>
    <n v="0"/>
    <x v="0"/>
    <n v="0"/>
    <n v="0"/>
    <n v="0"/>
    <n v="0"/>
    <n v="45.7"/>
  </r>
  <r>
    <x v="136"/>
    <d v="2025-05-06T00:00:00"/>
    <x v="0"/>
    <s v="North"/>
    <x v="1"/>
    <x v="2"/>
    <x v="1"/>
    <n v="0"/>
    <n v="0"/>
    <n v="0"/>
    <x v="0"/>
    <n v="0"/>
    <n v="3"/>
    <n v="0"/>
    <n v="0"/>
    <n v="32"/>
  </r>
  <r>
    <x v="137"/>
    <d v="2025-02-23T00:00:00"/>
    <x v="0"/>
    <s v="South"/>
    <x v="0"/>
    <x v="2"/>
    <x v="1"/>
    <n v="1"/>
    <n v="0"/>
    <n v="0"/>
    <x v="0"/>
    <n v="0"/>
    <n v="0"/>
    <n v="0"/>
    <n v="0"/>
    <n v="70.900000000000006"/>
  </r>
  <r>
    <x v="138"/>
    <d v="2025-01-29T00:00:00"/>
    <x v="0"/>
    <s v="West"/>
    <x v="1"/>
    <x v="4"/>
    <x v="0"/>
    <n v="1"/>
    <n v="1"/>
    <n v="1"/>
    <x v="0"/>
    <n v="0"/>
    <n v="0"/>
    <n v="0"/>
    <n v="0"/>
    <n v="59.1"/>
  </r>
  <r>
    <x v="139"/>
    <d v="2025-01-31T00:00:00"/>
    <x v="0"/>
    <s v="North"/>
    <x v="1"/>
    <x v="1"/>
    <x v="0"/>
    <n v="0"/>
    <n v="0"/>
    <n v="0"/>
    <x v="0"/>
    <n v="0"/>
    <n v="0"/>
    <n v="0"/>
    <n v="0"/>
    <n v="62.4"/>
  </r>
  <r>
    <x v="140"/>
    <d v="2025-01-19T00:00:00"/>
    <x v="0"/>
    <s v="South"/>
    <x v="1"/>
    <x v="1"/>
    <x v="1"/>
    <n v="0"/>
    <n v="0"/>
    <n v="0"/>
    <x v="0"/>
    <n v="0"/>
    <n v="0"/>
    <n v="0"/>
    <n v="0"/>
    <n v="49.6"/>
  </r>
  <r>
    <x v="141"/>
    <d v="2025-04-03T00:00:00"/>
    <x v="0"/>
    <s v="West"/>
    <x v="0"/>
    <x v="4"/>
    <x v="1"/>
    <n v="1"/>
    <n v="1"/>
    <n v="1"/>
    <x v="1"/>
    <n v="404.4"/>
    <n v="0"/>
    <n v="0"/>
    <n v="9"/>
    <n v="80.599999999999994"/>
  </r>
  <r>
    <x v="142"/>
    <d v="2025-04-07T00:00:00"/>
    <x v="0"/>
    <s v="North"/>
    <x v="1"/>
    <x v="2"/>
    <x v="1"/>
    <n v="1"/>
    <n v="0"/>
    <n v="0"/>
    <x v="0"/>
    <n v="0"/>
    <n v="0"/>
    <n v="0"/>
    <n v="0"/>
    <n v="47.9"/>
  </r>
  <r>
    <x v="143"/>
    <d v="2025-01-06T00:00:00"/>
    <x v="0"/>
    <s v="East"/>
    <x v="1"/>
    <x v="2"/>
    <x v="0"/>
    <n v="1"/>
    <n v="1"/>
    <n v="0"/>
    <x v="0"/>
    <n v="0"/>
    <n v="0"/>
    <n v="0"/>
    <n v="0"/>
    <n v="54.8"/>
  </r>
  <r>
    <x v="144"/>
    <d v="2025-04-11T00:00:00"/>
    <x v="0"/>
    <s v="East"/>
    <x v="1"/>
    <x v="1"/>
    <x v="1"/>
    <n v="1"/>
    <n v="0"/>
    <n v="0"/>
    <x v="0"/>
    <n v="0"/>
    <n v="1"/>
    <n v="0"/>
    <n v="0"/>
    <n v="53.9"/>
  </r>
  <r>
    <x v="145"/>
    <d v="2025-04-23T00:00:00"/>
    <x v="0"/>
    <s v="East"/>
    <x v="1"/>
    <x v="2"/>
    <x v="1"/>
    <n v="1"/>
    <n v="0"/>
    <n v="0"/>
    <x v="0"/>
    <n v="0"/>
    <n v="0"/>
    <n v="0"/>
    <n v="0"/>
    <n v="41.3"/>
  </r>
  <r>
    <x v="146"/>
    <d v="2025-03-25T00:00:00"/>
    <x v="0"/>
    <s v="West"/>
    <x v="1"/>
    <x v="1"/>
    <x v="0"/>
    <n v="1"/>
    <n v="1"/>
    <n v="0"/>
    <x v="0"/>
    <n v="0"/>
    <n v="0"/>
    <n v="0"/>
    <n v="0"/>
    <n v="38.9"/>
  </r>
  <r>
    <x v="147"/>
    <d v="2025-05-25T00:00:00"/>
    <x v="0"/>
    <s v="South"/>
    <x v="0"/>
    <x v="1"/>
    <x v="0"/>
    <n v="1"/>
    <n v="0"/>
    <n v="0"/>
    <x v="0"/>
    <n v="0"/>
    <n v="0"/>
    <n v="0"/>
    <n v="0"/>
    <n v="63.6"/>
  </r>
  <r>
    <x v="148"/>
    <d v="2025-01-28T00:00:00"/>
    <x v="0"/>
    <s v="North"/>
    <x v="1"/>
    <x v="1"/>
    <x v="1"/>
    <n v="1"/>
    <n v="1"/>
    <n v="1"/>
    <x v="1"/>
    <n v="577.94000000000005"/>
    <n v="0"/>
    <n v="0"/>
    <n v="9"/>
    <n v="76.599999999999994"/>
  </r>
  <r>
    <x v="149"/>
    <d v="2025-02-12T00:00:00"/>
    <x v="0"/>
    <s v="West"/>
    <x v="1"/>
    <x v="2"/>
    <x v="2"/>
    <n v="0"/>
    <n v="0"/>
    <n v="0"/>
    <x v="0"/>
    <n v="0"/>
    <n v="1"/>
    <n v="0"/>
    <n v="0"/>
    <n v="67.599999999999994"/>
  </r>
  <r>
    <x v="150"/>
    <d v="2025-04-29T00:00:00"/>
    <x v="0"/>
    <s v="North"/>
    <x v="1"/>
    <x v="4"/>
    <x v="2"/>
    <n v="1"/>
    <n v="0"/>
    <n v="0"/>
    <x v="0"/>
    <n v="0"/>
    <n v="0"/>
    <n v="0"/>
    <n v="0"/>
    <n v="43.1"/>
  </r>
  <r>
    <x v="151"/>
    <d v="2025-03-13T00:00:00"/>
    <x v="0"/>
    <s v="South"/>
    <x v="1"/>
    <x v="0"/>
    <x v="1"/>
    <n v="1"/>
    <n v="0"/>
    <n v="0"/>
    <x v="0"/>
    <n v="0"/>
    <n v="0"/>
    <n v="0"/>
    <n v="0"/>
    <n v="58.3"/>
  </r>
  <r>
    <x v="152"/>
    <d v="2025-02-04T00:00:00"/>
    <x v="0"/>
    <s v="East"/>
    <x v="0"/>
    <x v="2"/>
    <x v="1"/>
    <n v="1"/>
    <n v="0"/>
    <n v="0"/>
    <x v="0"/>
    <n v="0"/>
    <n v="0"/>
    <n v="0"/>
    <n v="0"/>
    <n v="69.8"/>
  </r>
  <r>
    <x v="153"/>
    <d v="2025-03-04T00:00:00"/>
    <x v="0"/>
    <s v="South"/>
    <x v="1"/>
    <x v="3"/>
    <x v="1"/>
    <n v="1"/>
    <n v="1"/>
    <n v="0"/>
    <x v="0"/>
    <n v="0"/>
    <n v="0"/>
    <n v="0"/>
    <n v="0"/>
    <n v="0"/>
  </r>
  <r>
    <x v="154"/>
    <d v="2025-02-04T00:00:00"/>
    <x v="0"/>
    <s v="West"/>
    <x v="1"/>
    <x v="2"/>
    <x v="0"/>
    <n v="1"/>
    <n v="1"/>
    <n v="0"/>
    <x v="0"/>
    <n v="0"/>
    <n v="0"/>
    <n v="0"/>
    <n v="0"/>
    <n v="41.9"/>
  </r>
  <r>
    <x v="155"/>
    <d v="2025-03-11T00:00:00"/>
    <x v="0"/>
    <s v="North"/>
    <x v="0"/>
    <x v="1"/>
    <x v="1"/>
    <n v="0"/>
    <n v="0"/>
    <n v="0"/>
    <x v="0"/>
    <n v="0"/>
    <n v="0"/>
    <n v="0"/>
    <n v="0"/>
    <n v="33.1"/>
  </r>
  <r>
    <x v="156"/>
    <d v="2025-04-22T00:00:00"/>
    <x v="0"/>
    <s v="West"/>
    <x v="1"/>
    <x v="1"/>
    <x v="1"/>
    <n v="0"/>
    <n v="0"/>
    <n v="0"/>
    <x v="0"/>
    <n v="0"/>
    <n v="0"/>
    <n v="0"/>
    <n v="0"/>
    <n v="58.6"/>
  </r>
  <r>
    <x v="157"/>
    <d v="2025-03-08T00:00:00"/>
    <x v="0"/>
    <s v="North"/>
    <x v="0"/>
    <x v="2"/>
    <x v="1"/>
    <n v="0"/>
    <n v="0"/>
    <n v="0"/>
    <x v="0"/>
    <n v="0"/>
    <n v="0"/>
    <n v="0"/>
    <n v="0"/>
    <n v="55.7"/>
  </r>
  <r>
    <x v="158"/>
    <d v="2025-03-10T00:00:00"/>
    <x v="0"/>
    <s v="East"/>
    <x v="1"/>
    <x v="1"/>
    <x v="1"/>
    <n v="0"/>
    <n v="0"/>
    <n v="0"/>
    <x v="0"/>
    <n v="0"/>
    <n v="2"/>
    <n v="0"/>
    <n v="0"/>
    <n v="64.900000000000006"/>
  </r>
  <r>
    <x v="159"/>
    <d v="2025-05-18T00:00:00"/>
    <x v="0"/>
    <s v="North"/>
    <x v="0"/>
    <x v="2"/>
    <x v="0"/>
    <n v="0"/>
    <n v="0"/>
    <n v="0"/>
    <x v="0"/>
    <n v="0"/>
    <n v="0"/>
    <n v="0"/>
    <n v="0"/>
    <n v="72.3"/>
  </r>
  <r>
    <x v="160"/>
    <d v="2025-05-14T00:00:00"/>
    <x v="0"/>
    <s v="North"/>
    <x v="1"/>
    <x v="4"/>
    <x v="0"/>
    <n v="0"/>
    <n v="0"/>
    <n v="0"/>
    <x v="0"/>
    <n v="0"/>
    <n v="0"/>
    <n v="0"/>
    <n v="0"/>
    <n v="42.1"/>
  </r>
  <r>
    <x v="161"/>
    <d v="2025-02-01T00:00:00"/>
    <x v="0"/>
    <s v="North"/>
    <x v="1"/>
    <x v="1"/>
    <x v="1"/>
    <n v="0"/>
    <n v="0"/>
    <n v="0"/>
    <x v="0"/>
    <n v="0"/>
    <n v="0"/>
    <n v="0"/>
    <n v="0"/>
    <n v="0"/>
  </r>
  <r>
    <x v="162"/>
    <d v="2025-04-11T00:00:00"/>
    <x v="0"/>
    <s v="South"/>
    <x v="1"/>
    <x v="1"/>
    <x v="0"/>
    <n v="0"/>
    <n v="0"/>
    <n v="0"/>
    <x v="0"/>
    <n v="0"/>
    <n v="1"/>
    <n v="0"/>
    <n v="0"/>
    <n v="64.8"/>
  </r>
  <r>
    <x v="163"/>
    <d v="2025-02-14T00:00:00"/>
    <x v="0"/>
    <s v="East"/>
    <x v="1"/>
    <x v="1"/>
    <x v="1"/>
    <n v="0"/>
    <n v="0"/>
    <n v="0"/>
    <x v="0"/>
    <n v="0"/>
    <n v="0"/>
    <n v="0"/>
    <n v="0"/>
    <n v="72.099999999999994"/>
  </r>
  <r>
    <x v="164"/>
    <d v="2025-05-19T00:00:00"/>
    <x v="0"/>
    <s v="East"/>
    <x v="1"/>
    <x v="4"/>
    <x v="1"/>
    <n v="1"/>
    <n v="0"/>
    <n v="0"/>
    <x v="0"/>
    <n v="0"/>
    <n v="0"/>
    <n v="0"/>
    <n v="0"/>
    <n v="50.6"/>
  </r>
  <r>
    <x v="165"/>
    <d v="2025-04-26T00:00:00"/>
    <x v="0"/>
    <s v="North"/>
    <x v="0"/>
    <x v="2"/>
    <x v="0"/>
    <n v="1"/>
    <n v="1"/>
    <n v="1"/>
    <x v="1"/>
    <n v="1281.25"/>
    <n v="1"/>
    <n v="0"/>
    <n v="9"/>
    <n v="43.4"/>
  </r>
  <r>
    <x v="166"/>
    <d v="2025-04-06T00:00:00"/>
    <x v="0"/>
    <s v="South"/>
    <x v="1"/>
    <x v="4"/>
    <x v="1"/>
    <n v="1"/>
    <n v="0"/>
    <n v="0"/>
    <x v="0"/>
    <n v="0"/>
    <n v="0"/>
    <n v="0"/>
    <n v="0"/>
    <n v="59.7"/>
  </r>
  <r>
    <x v="167"/>
    <d v="2025-03-06T00:00:00"/>
    <x v="0"/>
    <s v="South"/>
    <x v="1"/>
    <x v="2"/>
    <x v="1"/>
    <n v="1"/>
    <n v="0"/>
    <n v="0"/>
    <x v="0"/>
    <n v="0"/>
    <n v="1"/>
    <n v="0"/>
    <n v="0"/>
    <n v="0"/>
  </r>
  <r>
    <x v="168"/>
    <d v="2025-03-10T00:00:00"/>
    <x v="0"/>
    <s v="West"/>
    <x v="1"/>
    <x v="4"/>
    <x v="0"/>
    <n v="0"/>
    <n v="0"/>
    <n v="0"/>
    <x v="0"/>
    <n v="0"/>
    <n v="0"/>
    <n v="0"/>
    <n v="0"/>
    <n v="54.5"/>
  </r>
  <r>
    <x v="169"/>
    <d v="2025-03-30T00:00:00"/>
    <x v="0"/>
    <s v="North"/>
    <x v="1"/>
    <x v="1"/>
    <x v="1"/>
    <n v="1"/>
    <n v="0"/>
    <n v="0"/>
    <x v="0"/>
    <n v="0"/>
    <n v="0"/>
    <n v="0"/>
    <n v="0"/>
    <n v="71.099999999999994"/>
  </r>
  <r>
    <x v="170"/>
    <d v="2025-05-29T00:00:00"/>
    <x v="0"/>
    <s v="East"/>
    <x v="3"/>
    <x v="2"/>
    <x v="1"/>
    <n v="1"/>
    <n v="1"/>
    <n v="1"/>
    <x v="0"/>
    <n v="0"/>
    <n v="0"/>
    <n v="0"/>
    <n v="0"/>
    <n v="44.4"/>
  </r>
  <r>
    <x v="171"/>
    <d v="2025-03-23T00:00:00"/>
    <x v="0"/>
    <s v="North"/>
    <x v="1"/>
    <x v="1"/>
    <x v="1"/>
    <n v="1"/>
    <n v="0"/>
    <n v="0"/>
    <x v="0"/>
    <n v="0"/>
    <n v="0"/>
    <n v="0"/>
    <n v="0"/>
    <n v="61.7"/>
  </r>
  <r>
    <x v="172"/>
    <d v="2025-02-18T00:00:00"/>
    <x v="0"/>
    <s v="North"/>
    <x v="2"/>
    <x v="1"/>
    <x v="0"/>
    <n v="0"/>
    <n v="0"/>
    <n v="0"/>
    <x v="0"/>
    <n v="0"/>
    <n v="1"/>
    <n v="0"/>
    <n v="0"/>
    <n v="81.3"/>
  </r>
  <r>
    <x v="173"/>
    <d v="2025-01-26T00:00:00"/>
    <x v="0"/>
    <s v="North"/>
    <x v="0"/>
    <x v="0"/>
    <x v="1"/>
    <n v="1"/>
    <n v="0"/>
    <n v="0"/>
    <x v="0"/>
    <n v="0"/>
    <n v="2"/>
    <n v="0"/>
    <n v="0"/>
    <n v="28.7"/>
  </r>
  <r>
    <x v="174"/>
    <d v="2025-04-23T00:00:00"/>
    <x v="0"/>
    <s v="East"/>
    <x v="1"/>
    <x v="4"/>
    <x v="0"/>
    <n v="0"/>
    <n v="0"/>
    <n v="0"/>
    <x v="0"/>
    <n v="0"/>
    <n v="0"/>
    <n v="0"/>
    <n v="0"/>
    <n v="53"/>
  </r>
  <r>
    <x v="175"/>
    <d v="2025-03-16T00:00:00"/>
    <x v="0"/>
    <s v="South"/>
    <x v="2"/>
    <x v="3"/>
    <x v="0"/>
    <n v="1"/>
    <n v="0"/>
    <n v="0"/>
    <x v="0"/>
    <n v="0"/>
    <n v="0"/>
    <n v="0"/>
    <n v="0"/>
    <n v="54.9"/>
  </r>
  <r>
    <x v="176"/>
    <d v="2025-04-29T00:00:00"/>
    <x v="0"/>
    <s v="West"/>
    <x v="1"/>
    <x v="1"/>
    <x v="0"/>
    <n v="1"/>
    <n v="0"/>
    <n v="0"/>
    <x v="0"/>
    <n v="0"/>
    <n v="0"/>
    <n v="0"/>
    <n v="0"/>
    <n v="58.2"/>
  </r>
  <r>
    <x v="177"/>
    <d v="2025-04-06T00:00:00"/>
    <x v="0"/>
    <s v="North"/>
    <x v="1"/>
    <x v="1"/>
    <x v="1"/>
    <n v="0"/>
    <n v="0"/>
    <n v="0"/>
    <x v="0"/>
    <n v="0"/>
    <n v="0"/>
    <n v="0"/>
    <n v="0"/>
    <n v="80.599999999999994"/>
  </r>
  <r>
    <x v="178"/>
    <d v="2025-04-17T00:00:00"/>
    <x v="0"/>
    <s v="North"/>
    <x v="0"/>
    <x v="3"/>
    <x v="2"/>
    <n v="1"/>
    <n v="1"/>
    <n v="1"/>
    <x v="0"/>
    <n v="0"/>
    <n v="0"/>
    <n v="0"/>
    <n v="0"/>
    <n v="38.4"/>
  </r>
  <r>
    <x v="179"/>
    <d v="2025-04-03T00:00:00"/>
    <x v="0"/>
    <s v="South"/>
    <x v="1"/>
    <x v="2"/>
    <x v="1"/>
    <n v="1"/>
    <n v="0"/>
    <n v="0"/>
    <x v="0"/>
    <n v="0"/>
    <n v="0"/>
    <n v="0"/>
    <n v="0"/>
    <n v="56.1"/>
  </r>
  <r>
    <x v="180"/>
    <d v="2025-04-25T00:00:00"/>
    <x v="0"/>
    <s v="West"/>
    <x v="1"/>
    <x v="2"/>
    <x v="1"/>
    <n v="0"/>
    <n v="0"/>
    <n v="0"/>
    <x v="0"/>
    <n v="0"/>
    <n v="0"/>
    <n v="0"/>
    <n v="0"/>
    <n v="62.6"/>
  </r>
  <r>
    <x v="181"/>
    <d v="2025-04-30T00:00:00"/>
    <x v="0"/>
    <s v="South"/>
    <x v="1"/>
    <x v="1"/>
    <x v="2"/>
    <n v="0"/>
    <n v="0"/>
    <n v="0"/>
    <x v="0"/>
    <n v="0"/>
    <n v="0"/>
    <n v="0"/>
    <n v="0"/>
    <n v="36.299999999999997"/>
  </r>
  <r>
    <x v="182"/>
    <d v="2025-03-12T00:00:00"/>
    <x v="0"/>
    <s v="South"/>
    <x v="1"/>
    <x v="2"/>
    <x v="1"/>
    <n v="1"/>
    <n v="0"/>
    <n v="0"/>
    <x v="0"/>
    <n v="0"/>
    <n v="0"/>
    <n v="0"/>
    <n v="0"/>
    <n v="52.1"/>
  </r>
  <r>
    <x v="183"/>
    <d v="2025-05-04T00:00:00"/>
    <x v="0"/>
    <s v="South"/>
    <x v="1"/>
    <x v="1"/>
    <x v="1"/>
    <n v="1"/>
    <n v="0"/>
    <n v="0"/>
    <x v="0"/>
    <n v="0"/>
    <n v="0"/>
    <n v="0"/>
    <n v="0"/>
    <n v="45.1"/>
  </r>
  <r>
    <x v="184"/>
    <d v="2025-02-07T00:00:00"/>
    <x v="0"/>
    <s v="South"/>
    <x v="2"/>
    <x v="2"/>
    <x v="2"/>
    <n v="0"/>
    <n v="0"/>
    <n v="0"/>
    <x v="0"/>
    <n v="0"/>
    <n v="0"/>
    <n v="0"/>
    <n v="0"/>
    <n v="67.5"/>
  </r>
  <r>
    <x v="185"/>
    <d v="2025-04-28T00:00:00"/>
    <x v="0"/>
    <s v="East"/>
    <x v="2"/>
    <x v="0"/>
    <x v="0"/>
    <n v="1"/>
    <n v="1"/>
    <n v="1"/>
    <x v="0"/>
    <n v="0"/>
    <n v="0"/>
    <n v="0"/>
    <n v="0"/>
    <n v="80"/>
  </r>
  <r>
    <x v="186"/>
    <d v="2025-05-15T00:00:00"/>
    <x v="0"/>
    <s v="East"/>
    <x v="0"/>
    <x v="3"/>
    <x v="1"/>
    <n v="0"/>
    <n v="0"/>
    <n v="0"/>
    <x v="0"/>
    <n v="0"/>
    <n v="0"/>
    <n v="0"/>
    <n v="0"/>
    <n v="56.4"/>
  </r>
  <r>
    <x v="187"/>
    <d v="2025-01-18T00:00:00"/>
    <x v="0"/>
    <s v="West"/>
    <x v="1"/>
    <x v="2"/>
    <x v="0"/>
    <n v="0"/>
    <n v="0"/>
    <n v="0"/>
    <x v="0"/>
    <n v="0"/>
    <n v="0"/>
    <n v="0"/>
    <n v="0"/>
    <n v="55.4"/>
  </r>
  <r>
    <x v="188"/>
    <d v="2025-02-15T00:00:00"/>
    <x v="0"/>
    <s v="South"/>
    <x v="1"/>
    <x v="4"/>
    <x v="0"/>
    <n v="1"/>
    <n v="0"/>
    <n v="0"/>
    <x v="0"/>
    <n v="0"/>
    <n v="0"/>
    <n v="0"/>
    <n v="0"/>
    <n v="67.900000000000006"/>
  </r>
  <r>
    <x v="189"/>
    <d v="2025-02-18T00:00:00"/>
    <x v="0"/>
    <s v="North"/>
    <x v="2"/>
    <x v="0"/>
    <x v="1"/>
    <n v="1"/>
    <n v="0"/>
    <n v="0"/>
    <x v="0"/>
    <n v="0"/>
    <n v="0"/>
    <n v="0"/>
    <n v="0"/>
    <n v="62.5"/>
  </r>
  <r>
    <x v="190"/>
    <d v="2025-01-30T00:00:00"/>
    <x v="0"/>
    <s v="South"/>
    <x v="0"/>
    <x v="0"/>
    <x v="0"/>
    <n v="1"/>
    <n v="1"/>
    <n v="1"/>
    <x v="0"/>
    <n v="0"/>
    <n v="0"/>
    <n v="0"/>
    <n v="0"/>
    <n v="54.3"/>
  </r>
  <r>
    <x v="191"/>
    <d v="2025-02-09T00:00:00"/>
    <x v="0"/>
    <s v="South"/>
    <x v="0"/>
    <x v="1"/>
    <x v="0"/>
    <n v="1"/>
    <n v="0"/>
    <n v="0"/>
    <x v="0"/>
    <n v="0"/>
    <n v="0"/>
    <n v="0"/>
    <n v="0"/>
    <n v="37.5"/>
  </r>
  <r>
    <x v="192"/>
    <d v="2025-03-16T00:00:00"/>
    <x v="0"/>
    <s v="West"/>
    <x v="1"/>
    <x v="2"/>
    <x v="0"/>
    <n v="1"/>
    <n v="0"/>
    <n v="0"/>
    <x v="0"/>
    <n v="0"/>
    <n v="0"/>
    <n v="0"/>
    <n v="0"/>
    <n v="52.6"/>
  </r>
  <r>
    <x v="193"/>
    <d v="2025-05-19T00:00:00"/>
    <x v="0"/>
    <s v="North"/>
    <x v="1"/>
    <x v="2"/>
    <x v="1"/>
    <n v="1"/>
    <n v="0"/>
    <n v="0"/>
    <x v="0"/>
    <n v="0"/>
    <n v="0"/>
    <n v="0"/>
    <n v="0"/>
    <n v="46.1"/>
  </r>
  <r>
    <x v="194"/>
    <d v="2025-05-16T00:00:00"/>
    <x v="0"/>
    <s v="South"/>
    <x v="0"/>
    <x v="1"/>
    <x v="0"/>
    <n v="1"/>
    <n v="0"/>
    <n v="0"/>
    <x v="0"/>
    <n v="0"/>
    <n v="0"/>
    <n v="0"/>
    <n v="0"/>
    <n v="54.7"/>
  </r>
  <r>
    <x v="195"/>
    <d v="2025-04-25T00:00:00"/>
    <x v="0"/>
    <s v="West"/>
    <x v="0"/>
    <x v="3"/>
    <x v="0"/>
    <n v="0"/>
    <n v="0"/>
    <n v="0"/>
    <x v="0"/>
    <n v="0"/>
    <n v="0"/>
    <n v="0"/>
    <n v="0"/>
    <n v="74.2"/>
  </r>
  <r>
    <x v="196"/>
    <d v="2025-02-27T00:00:00"/>
    <x v="0"/>
    <s v="North"/>
    <x v="1"/>
    <x v="4"/>
    <x v="0"/>
    <n v="1"/>
    <n v="1"/>
    <n v="1"/>
    <x v="1"/>
    <n v="1052.8"/>
    <n v="2"/>
    <n v="0"/>
    <n v="6"/>
    <n v="64.7"/>
  </r>
  <r>
    <x v="197"/>
    <d v="2025-04-26T00:00:00"/>
    <x v="0"/>
    <s v="South"/>
    <x v="1"/>
    <x v="2"/>
    <x v="0"/>
    <n v="0"/>
    <n v="0"/>
    <n v="0"/>
    <x v="0"/>
    <n v="0"/>
    <n v="0"/>
    <n v="0"/>
    <n v="0"/>
    <n v="65.900000000000006"/>
  </r>
  <r>
    <x v="198"/>
    <d v="2025-05-14T00:00:00"/>
    <x v="0"/>
    <s v="North"/>
    <x v="1"/>
    <x v="1"/>
    <x v="0"/>
    <n v="1"/>
    <n v="0"/>
    <n v="0"/>
    <x v="0"/>
    <n v="0"/>
    <n v="0"/>
    <n v="0"/>
    <n v="0"/>
    <n v="64"/>
  </r>
  <r>
    <x v="199"/>
    <d v="2025-03-05T00:00:00"/>
    <x v="0"/>
    <s v="North"/>
    <x v="1"/>
    <x v="1"/>
    <x v="2"/>
    <n v="1"/>
    <n v="0"/>
    <n v="0"/>
    <x v="0"/>
    <n v="0"/>
    <n v="0"/>
    <n v="0"/>
    <n v="0"/>
    <n v="57.2"/>
  </r>
  <r>
    <x v="200"/>
    <d v="2025-04-02T00:00:00"/>
    <x v="0"/>
    <s v="West"/>
    <x v="0"/>
    <x v="1"/>
    <x v="1"/>
    <n v="1"/>
    <n v="0"/>
    <n v="0"/>
    <x v="0"/>
    <n v="0"/>
    <n v="0"/>
    <n v="0"/>
    <n v="0"/>
    <n v="80.5"/>
  </r>
  <r>
    <x v="201"/>
    <d v="2025-05-14T00:00:00"/>
    <x v="0"/>
    <s v="South"/>
    <x v="2"/>
    <x v="1"/>
    <x v="1"/>
    <n v="0"/>
    <n v="0"/>
    <n v="0"/>
    <x v="0"/>
    <n v="0"/>
    <n v="0"/>
    <n v="0"/>
    <n v="0"/>
    <n v="53.9"/>
  </r>
  <r>
    <x v="202"/>
    <d v="2025-05-21T00:00:00"/>
    <x v="0"/>
    <s v="North"/>
    <x v="1"/>
    <x v="2"/>
    <x v="1"/>
    <n v="1"/>
    <n v="1"/>
    <n v="0"/>
    <x v="0"/>
    <n v="0"/>
    <n v="0"/>
    <n v="0"/>
    <n v="0"/>
    <n v="77.5"/>
  </r>
  <r>
    <x v="203"/>
    <d v="2025-01-27T00:00:00"/>
    <x v="0"/>
    <s v="East"/>
    <x v="1"/>
    <x v="4"/>
    <x v="0"/>
    <n v="0"/>
    <n v="0"/>
    <n v="0"/>
    <x v="0"/>
    <n v="0"/>
    <n v="0"/>
    <n v="0"/>
    <n v="0"/>
    <n v="84.2"/>
  </r>
  <r>
    <x v="204"/>
    <d v="2025-05-22T00:00:00"/>
    <x v="0"/>
    <s v="West"/>
    <x v="0"/>
    <x v="1"/>
    <x v="1"/>
    <n v="1"/>
    <n v="1"/>
    <n v="0"/>
    <x v="0"/>
    <n v="0"/>
    <n v="0"/>
    <n v="0"/>
    <n v="0"/>
    <n v="54.9"/>
  </r>
  <r>
    <x v="205"/>
    <d v="2025-05-19T00:00:00"/>
    <x v="0"/>
    <s v="South"/>
    <x v="1"/>
    <x v="2"/>
    <x v="1"/>
    <n v="0"/>
    <n v="0"/>
    <n v="0"/>
    <x v="0"/>
    <n v="0"/>
    <n v="0"/>
    <n v="0"/>
    <n v="0"/>
    <n v="69.3"/>
  </r>
  <r>
    <x v="206"/>
    <d v="2025-01-14T00:00:00"/>
    <x v="0"/>
    <s v="South"/>
    <x v="0"/>
    <x v="2"/>
    <x v="1"/>
    <n v="1"/>
    <n v="0"/>
    <n v="0"/>
    <x v="0"/>
    <n v="0"/>
    <n v="2"/>
    <n v="0"/>
    <n v="0"/>
    <n v="42.3"/>
  </r>
  <r>
    <x v="207"/>
    <d v="2025-01-21T00:00:00"/>
    <x v="0"/>
    <s v="North"/>
    <x v="0"/>
    <x v="3"/>
    <x v="2"/>
    <n v="1"/>
    <n v="0"/>
    <n v="0"/>
    <x v="0"/>
    <n v="0"/>
    <n v="1"/>
    <n v="0"/>
    <n v="0"/>
    <n v="69.599999999999994"/>
  </r>
  <r>
    <x v="208"/>
    <d v="2025-05-16T00:00:00"/>
    <x v="0"/>
    <s v="East"/>
    <x v="1"/>
    <x v="1"/>
    <x v="1"/>
    <n v="0"/>
    <n v="0"/>
    <n v="0"/>
    <x v="0"/>
    <n v="0"/>
    <n v="0"/>
    <n v="0"/>
    <n v="0"/>
    <n v="40.700000000000003"/>
  </r>
  <r>
    <x v="209"/>
    <d v="2025-02-02T00:00:00"/>
    <x v="0"/>
    <s v="North"/>
    <x v="1"/>
    <x v="0"/>
    <x v="1"/>
    <n v="1"/>
    <n v="0"/>
    <n v="0"/>
    <x v="0"/>
    <n v="0"/>
    <n v="0"/>
    <n v="0"/>
    <n v="0"/>
    <n v="54"/>
  </r>
  <r>
    <x v="210"/>
    <d v="2025-03-23T00:00:00"/>
    <x v="0"/>
    <s v="East"/>
    <x v="3"/>
    <x v="3"/>
    <x v="1"/>
    <n v="1"/>
    <n v="1"/>
    <n v="1"/>
    <x v="1"/>
    <n v="553.37"/>
    <n v="0"/>
    <n v="0"/>
    <n v="5"/>
    <n v="46.3"/>
  </r>
  <r>
    <x v="211"/>
    <d v="2025-01-24T00:00:00"/>
    <x v="0"/>
    <s v="East"/>
    <x v="1"/>
    <x v="1"/>
    <x v="1"/>
    <n v="1"/>
    <n v="0"/>
    <n v="0"/>
    <x v="0"/>
    <n v="0"/>
    <n v="0"/>
    <n v="0"/>
    <n v="0"/>
    <n v="64.2"/>
  </r>
  <r>
    <x v="212"/>
    <d v="2025-04-12T00:00:00"/>
    <x v="0"/>
    <s v="North"/>
    <x v="0"/>
    <x v="1"/>
    <x v="1"/>
    <n v="1"/>
    <n v="0"/>
    <n v="0"/>
    <x v="0"/>
    <n v="0"/>
    <n v="0"/>
    <n v="0"/>
    <n v="0"/>
    <n v="75.2"/>
  </r>
  <r>
    <x v="213"/>
    <d v="2025-02-18T00:00:00"/>
    <x v="0"/>
    <s v="East"/>
    <x v="0"/>
    <x v="2"/>
    <x v="1"/>
    <n v="1"/>
    <n v="1"/>
    <n v="0"/>
    <x v="0"/>
    <n v="0"/>
    <n v="0"/>
    <n v="0"/>
    <n v="0"/>
    <n v="60.9"/>
  </r>
  <r>
    <x v="214"/>
    <d v="2025-05-28T00:00:00"/>
    <x v="0"/>
    <s v="South"/>
    <x v="1"/>
    <x v="0"/>
    <x v="0"/>
    <n v="1"/>
    <n v="1"/>
    <n v="1"/>
    <x v="0"/>
    <n v="0"/>
    <n v="0"/>
    <n v="0"/>
    <n v="0"/>
    <n v="62.1"/>
  </r>
  <r>
    <x v="215"/>
    <d v="2025-04-18T00:00:00"/>
    <x v="0"/>
    <s v="South"/>
    <x v="1"/>
    <x v="4"/>
    <x v="0"/>
    <n v="0"/>
    <n v="0"/>
    <n v="0"/>
    <x v="0"/>
    <n v="0"/>
    <n v="0"/>
    <n v="0"/>
    <n v="0"/>
    <n v="45.4"/>
  </r>
  <r>
    <x v="216"/>
    <d v="2025-03-27T00:00:00"/>
    <x v="0"/>
    <s v="North"/>
    <x v="1"/>
    <x v="2"/>
    <x v="0"/>
    <n v="1"/>
    <n v="0"/>
    <n v="0"/>
    <x v="0"/>
    <n v="0"/>
    <n v="0"/>
    <n v="0"/>
    <n v="0"/>
    <n v="53.3"/>
  </r>
  <r>
    <x v="217"/>
    <d v="2025-02-25T00:00:00"/>
    <x v="0"/>
    <s v="North"/>
    <x v="2"/>
    <x v="4"/>
    <x v="1"/>
    <n v="1"/>
    <n v="0"/>
    <n v="0"/>
    <x v="0"/>
    <n v="0"/>
    <n v="0"/>
    <n v="0"/>
    <n v="0"/>
    <n v="0"/>
  </r>
  <r>
    <x v="218"/>
    <d v="2025-02-19T00:00:00"/>
    <x v="0"/>
    <s v="East"/>
    <x v="1"/>
    <x v="2"/>
    <x v="1"/>
    <n v="0"/>
    <n v="0"/>
    <n v="0"/>
    <x v="0"/>
    <n v="0"/>
    <n v="1"/>
    <n v="0"/>
    <n v="0"/>
    <n v="38.200000000000003"/>
  </r>
  <r>
    <x v="219"/>
    <d v="2025-04-11T00:00:00"/>
    <x v="0"/>
    <s v="West"/>
    <x v="1"/>
    <x v="2"/>
    <x v="1"/>
    <n v="1"/>
    <n v="1"/>
    <n v="0"/>
    <x v="0"/>
    <n v="0"/>
    <n v="3"/>
    <n v="0"/>
    <n v="0"/>
    <n v="59"/>
  </r>
  <r>
    <x v="220"/>
    <d v="2025-01-22T00:00:00"/>
    <x v="0"/>
    <s v="East"/>
    <x v="2"/>
    <x v="3"/>
    <x v="2"/>
    <n v="1"/>
    <n v="1"/>
    <n v="1"/>
    <x v="0"/>
    <n v="0"/>
    <n v="0"/>
    <n v="0"/>
    <n v="0"/>
    <n v="80.599999999999994"/>
  </r>
  <r>
    <x v="221"/>
    <d v="2025-01-12T00:00:00"/>
    <x v="0"/>
    <s v="South"/>
    <x v="1"/>
    <x v="4"/>
    <x v="1"/>
    <n v="1"/>
    <n v="0"/>
    <n v="0"/>
    <x v="0"/>
    <n v="0"/>
    <n v="0"/>
    <n v="0"/>
    <n v="0"/>
    <n v="67"/>
  </r>
  <r>
    <x v="222"/>
    <d v="2025-02-17T00:00:00"/>
    <x v="0"/>
    <s v="West"/>
    <x v="1"/>
    <x v="0"/>
    <x v="1"/>
    <n v="1"/>
    <n v="0"/>
    <n v="0"/>
    <x v="0"/>
    <n v="0"/>
    <n v="1"/>
    <n v="0"/>
    <n v="0"/>
    <n v="72.099999999999994"/>
  </r>
  <r>
    <x v="223"/>
    <d v="2025-04-11T00:00:00"/>
    <x v="0"/>
    <s v="West"/>
    <x v="0"/>
    <x v="1"/>
    <x v="1"/>
    <n v="0"/>
    <n v="0"/>
    <n v="0"/>
    <x v="0"/>
    <n v="0"/>
    <n v="0"/>
    <n v="0"/>
    <n v="0"/>
    <n v="74.099999999999994"/>
  </r>
  <r>
    <x v="224"/>
    <d v="2025-05-25T00:00:00"/>
    <x v="0"/>
    <s v="South"/>
    <x v="1"/>
    <x v="3"/>
    <x v="2"/>
    <n v="0"/>
    <n v="0"/>
    <n v="0"/>
    <x v="0"/>
    <n v="0"/>
    <n v="0"/>
    <n v="0"/>
    <n v="0"/>
    <n v="84.8"/>
  </r>
  <r>
    <x v="225"/>
    <d v="2025-03-12T00:00:00"/>
    <x v="0"/>
    <s v="South"/>
    <x v="1"/>
    <x v="1"/>
    <x v="0"/>
    <n v="1"/>
    <n v="0"/>
    <n v="0"/>
    <x v="0"/>
    <n v="0"/>
    <n v="0"/>
    <n v="0"/>
    <n v="0"/>
    <n v="33"/>
  </r>
  <r>
    <x v="226"/>
    <d v="2025-04-20T00:00:00"/>
    <x v="0"/>
    <s v="North"/>
    <x v="2"/>
    <x v="0"/>
    <x v="1"/>
    <n v="0"/>
    <n v="0"/>
    <n v="0"/>
    <x v="0"/>
    <n v="0"/>
    <n v="0"/>
    <n v="0"/>
    <n v="0"/>
    <n v="52.5"/>
  </r>
  <r>
    <x v="227"/>
    <d v="2025-02-23T00:00:00"/>
    <x v="0"/>
    <s v="North"/>
    <x v="2"/>
    <x v="1"/>
    <x v="1"/>
    <n v="0"/>
    <n v="0"/>
    <n v="0"/>
    <x v="0"/>
    <n v="0"/>
    <n v="0"/>
    <n v="0"/>
    <n v="0"/>
    <n v="66.900000000000006"/>
  </r>
  <r>
    <x v="228"/>
    <d v="2025-01-24T00:00:00"/>
    <x v="0"/>
    <s v="North"/>
    <x v="1"/>
    <x v="1"/>
    <x v="0"/>
    <n v="1"/>
    <n v="1"/>
    <n v="1"/>
    <x v="0"/>
    <n v="0"/>
    <n v="1"/>
    <n v="0"/>
    <n v="0"/>
    <n v="32.700000000000003"/>
  </r>
  <r>
    <x v="229"/>
    <d v="2025-01-16T00:00:00"/>
    <x v="0"/>
    <s v="West"/>
    <x v="1"/>
    <x v="1"/>
    <x v="2"/>
    <n v="1"/>
    <n v="1"/>
    <n v="1"/>
    <x v="0"/>
    <n v="0"/>
    <n v="1"/>
    <n v="0"/>
    <n v="0"/>
    <n v="70.599999999999994"/>
  </r>
  <r>
    <x v="230"/>
    <d v="2025-02-17T00:00:00"/>
    <x v="0"/>
    <s v="North"/>
    <x v="1"/>
    <x v="4"/>
    <x v="1"/>
    <n v="0"/>
    <n v="0"/>
    <n v="0"/>
    <x v="0"/>
    <n v="0"/>
    <n v="0"/>
    <n v="0"/>
    <n v="0"/>
    <n v="69.400000000000006"/>
  </r>
  <r>
    <x v="231"/>
    <d v="2025-05-04T00:00:00"/>
    <x v="0"/>
    <s v="North"/>
    <x v="0"/>
    <x v="1"/>
    <x v="0"/>
    <n v="1"/>
    <n v="0"/>
    <n v="0"/>
    <x v="0"/>
    <n v="0"/>
    <n v="0"/>
    <n v="0"/>
    <n v="0"/>
    <n v="56.1"/>
  </r>
  <r>
    <x v="232"/>
    <d v="2025-01-12T00:00:00"/>
    <x v="0"/>
    <s v="West"/>
    <x v="1"/>
    <x v="1"/>
    <x v="0"/>
    <n v="0"/>
    <n v="0"/>
    <n v="0"/>
    <x v="0"/>
    <n v="0"/>
    <n v="0"/>
    <n v="0"/>
    <n v="0"/>
    <n v="55.8"/>
  </r>
  <r>
    <x v="233"/>
    <d v="2025-04-28T00:00:00"/>
    <x v="0"/>
    <s v="North"/>
    <x v="2"/>
    <x v="1"/>
    <x v="1"/>
    <n v="0"/>
    <n v="0"/>
    <n v="0"/>
    <x v="0"/>
    <n v="0"/>
    <n v="0"/>
    <n v="0"/>
    <n v="0"/>
    <n v="49.3"/>
  </r>
  <r>
    <x v="234"/>
    <d v="2025-02-26T00:00:00"/>
    <x v="0"/>
    <s v="North"/>
    <x v="1"/>
    <x v="1"/>
    <x v="1"/>
    <n v="0"/>
    <n v="0"/>
    <n v="0"/>
    <x v="0"/>
    <n v="0"/>
    <n v="0"/>
    <n v="0"/>
    <n v="0"/>
    <n v="71.8"/>
  </r>
  <r>
    <x v="235"/>
    <d v="2025-03-18T00:00:00"/>
    <x v="0"/>
    <s v="West"/>
    <x v="1"/>
    <x v="4"/>
    <x v="1"/>
    <n v="1"/>
    <n v="0"/>
    <n v="0"/>
    <x v="0"/>
    <n v="0"/>
    <n v="3"/>
    <n v="0"/>
    <n v="0"/>
    <n v="39.700000000000003"/>
  </r>
  <r>
    <x v="236"/>
    <d v="2025-03-01T00:00:00"/>
    <x v="0"/>
    <s v="South"/>
    <x v="0"/>
    <x v="1"/>
    <x v="2"/>
    <n v="1"/>
    <n v="0"/>
    <n v="0"/>
    <x v="0"/>
    <n v="0"/>
    <n v="0"/>
    <n v="0"/>
    <n v="0"/>
    <n v="45.4"/>
  </r>
  <r>
    <x v="237"/>
    <d v="2025-04-05T00:00:00"/>
    <x v="0"/>
    <s v="North"/>
    <x v="0"/>
    <x v="4"/>
    <x v="2"/>
    <n v="1"/>
    <n v="0"/>
    <n v="0"/>
    <x v="0"/>
    <n v="0"/>
    <n v="0"/>
    <n v="0"/>
    <n v="0"/>
    <n v="69.900000000000006"/>
  </r>
  <r>
    <x v="238"/>
    <d v="2025-03-12T00:00:00"/>
    <x v="0"/>
    <s v="North"/>
    <x v="0"/>
    <x v="4"/>
    <x v="1"/>
    <n v="1"/>
    <n v="1"/>
    <n v="1"/>
    <x v="0"/>
    <n v="0"/>
    <n v="0"/>
    <n v="0"/>
    <n v="0"/>
    <n v="56.1"/>
  </r>
  <r>
    <x v="239"/>
    <d v="2025-03-15T00:00:00"/>
    <x v="0"/>
    <s v="West"/>
    <x v="1"/>
    <x v="3"/>
    <x v="0"/>
    <n v="1"/>
    <n v="1"/>
    <n v="0"/>
    <x v="0"/>
    <n v="0"/>
    <n v="0"/>
    <n v="0"/>
    <n v="0"/>
    <n v="45.9"/>
  </r>
  <r>
    <x v="240"/>
    <d v="2025-02-23T00:00:00"/>
    <x v="0"/>
    <s v="West"/>
    <x v="1"/>
    <x v="0"/>
    <x v="1"/>
    <n v="0"/>
    <n v="0"/>
    <n v="0"/>
    <x v="0"/>
    <n v="0"/>
    <n v="0"/>
    <n v="0"/>
    <n v="0"/>
    <n v="65.8"/>
  </r>
  <r>
    <x v="241"/>
    <d v="2025-04-22T00:00:00"/>
    <x v="0"/>
    <s v="North"/>
    <x v="1"/>
    <x v="1"/>
    <x v="0"/>
    <n v="1"/>
    <n v="0"/>
    <n v="0"/>
    <x v="0"/>
    <n v="0"/>
    <n v="0"/>
    <n v="0"/>
    <n v="0"/>
    <n v="48.2"/>
  </r>
  <r>
    <x v="242"/>
    <d v="2025-01-09T00:00:00"/>
    <x v="0"/>
    <s v="East"/>
    <x v="1"/>
    <x v="1"/>
    <x v="0"/>
    <n v="1"/>
    <n v="1"/>
    <n v="1"/>
    <x v="0"/>
    <n v="0"/>
    <n v="0"/>
    <n v="0"/>
    <n v="0"/>
    <n v="81.099999999999994"/>
  </r>
  <r>
    <x v="243"/>
    <d v="2025-03-05T00:00:00"/>
    <x v="0"/>
    <s v="East"/>
    <x v="2"/>
    <x v="4"/>
    <x v="2"/>
    <n v="1"/>
    <n v="1"/>
    <n v="0"/>
    <x v="0"/>
    <n v="0"/>
    <n v="0"/>
    <n v="0"/>
    <n v="0"/>
    <n v="53.2"/>
  </r>
  <r>
    <x v="244"/>
    <d v="2025-01-28T00:00:00"/>
    <x v="0"/>
    <s v="North"/>
    <x v="1"/>
    <x v="4"/>
    <x v="1"/>
    <n v="1"/>
    <n v="1"/>
    <n v="1"/>
    <x v="0"/>
    <n v="0"/>
    <n v="0"/>
    <n v="0"/>
    <n v="0"/>
    <n v="57.7"/>
  </r>
  <r>
    <x v="245"/>
    <d v="2025-01-21T00:00:00"/>
    <x v="0"/>
    <s v="West"/>
    <x v="1"/>
    <x v="2"/>
    <x v="2"/>
    <n v="1"/>
    <n v="1"/>
    <n v="0"/>
    <x v="0"/>
    <n v="0"/>
    <n v="0"/>
    <n v="0"/>
    <n v="0"/>
    <n v="78.900000000000006"/>
  </r>
  <r>
    <x v="246"/>
    <d v="2025-03-14T00:00:00"/>
    <x v="0"/>
    <s v="South"/>
    <x v="1"/>
    <x v="3"/>
    <x v="0"/>
    <n v="0"/>
    <n v="0"/>
    <n v="0"/>
    <x v="0"/>
    <n v="0"/>
    <n v="0"/>
    <n v="0"/>
    <n v="0"/>
    <n v="55.7"/>
  </r>
  <r>
    <x v="247"/>
    <d v="2025-02-03T00:00:00"/>
    <x v="0"/>
    <s v="West"/>
    <x v="1"/>
    <x v="2"/>
    <x v="1"/>
    <n v="0"/>
    <n v="0"/>
    <n v="0"/>
    <x v="0"/>
    <n v="0"/>
    <n v="0"/>
    <n v="0"/>
    <n v="0"/>
    <n v="52.3"/>
  </r>
  <r>
    <x v="248"/>
    <d v="2025-05-22T00:00:00"/>
    <x v="0"/>
    <s v="North"/>
    <x v="1"/>
    <x v="4"/>
    <x v="1"/>
    <n v="1"/>
    <n v="0"/>
    <n v="0"/>
    <x v="0"/>
    <n v="0"/>
    <n v="0"/>
    <n v="0"/>
    <n v="0"/>
    <n v="51.5"/>
  </r>
  <r>
    <x v="249"/>
    <d v="2025-04-25T00:00:00"/>
    <x v="0"/>
    <s v="North"/>
    <x v="0"/>
    <x v="0"/>
    <x v="1"/>
    <n v="1"/>
    <n v="0"/>
    <n v="0"/>
    <x v="0"/>
    <n v="0"/>
    <n v="0"/>
    <n v="0"/>
    <n v="0"/>
    <n v="70.8"/>
  </r>
  <r>
    <x v="250"/>
    <d v="2025-01-30T00:00:00"/>
    <x v="0"/>
    <s v="North"/>
    <x v="0"/>
    <x v="0"/>
    <x v="0"/>
    <n v="1"/>
    <n v="1"/>
    <n v="1"/>
    <x v="1"/>
    <n v="1250.78"/>
    <n v="0"/>
    <n v="0"/>
    <n v="10"/>
    <n v="39"/>
  </r>
  <r>
    <x v="251"/>
    <d v="2025-05-23T00:00:00"/>
    <x v="0"/>
    <s v="West"/>
    <x v="1"/>
    <x v="1"/>
    <x v="1"/>
    <n v="1"/>
    <n v="0"/>
    <n v="0"/>
    <x v="0"/>
    <n v="0"/>
    <n v="0"/>
    <n v="0"/>
    <n v="0"/>
    <n v="61.6"/>
  </r>
  <r>
    <x v="252"/>
    <d v="2025-02-14T00:00:00"/>
    <x v="0"/>
    <s v="East"/>
    <x v="0"/>
    <x v="1"/>
    <x v="1"/>
    <n v="1"/>
    <n v="1"/>
    <n v="1"/>
    <x v="0"/>
    <n v="0"/>
    <n v="0"/>
    <n v="0"/>
    <n v="0"/>
    <n v="46.8"/>
  </r>
  <r>
    <x v="253"/>
    <d v="2025-03-05T00:00:00"/>
    <x v="0"/>
    <s v="North"/>
    <x v="1"/>
    <x v="2"/>
    <x v="2"/>
    <n v="0"/>
    <n v="0"/>
    <n v="0"/>
    <x v="0"/>
    <n v="0"/>
    <n v="1"/>
    <n v="0"/>
    <n v="0"/>
    <n v="58.5"/>
  </r>
  <r>
    <x v="254"/>
    <d v="2025-05-27T00:00:00"/>
    <x v="0"/>
    <s v="North"/>
    <x v="1"/>
    <x v="2"/>
    <x v="0"/>
    <n v="0"/>
    <n v="0"/>
    <n v="0"/>
    <x v="0"/>
    <n v="0"/>
    <n v="0"/>
    <n v="0"/>
    <n v="0"/>
    <n v="70.900000000000006"/>
  </r>
  <r>
    <x v="255"/>
    <d v="2025-01-07T00:00:00"/>
    <x v="0"/>
    <s v="South"/>
    <x v="1"/>
    <x v="2"/>
    <x v="1"/>
    <n v="1"/>
    <n v="0"/>
    <n v="0"/>
    <x v="0"/>
    <n v="0"/>
    <n v="0"/>
    <n v="0"/>
    <n v="0"/>
    <n v="48.4"/>
  </r>
  <r>
    <x v="256"/>
    <d v="2025-04-21T00:00:00"/>
    <x v="0"/>
    <s v="North"/>
    <x v="1"/>
    <x v="0"/>
    <x v="1"/>
    <n v="1"/>
    <n v="0"/>
    <n v="0"/>
    <x v="0"/>
    <n v="0"/>
    <n v="0"/>
    <n v="0"/>
    <n v="0"/>
    <n v="58"/>
  </r>
  <r>
    <x v="257"/>
    <d v="2025-05-13T00:00:00"/>
    <x v="0"/>
    <s v="North"/>
    <x v="1"/>
    <x v="2"/>
    <x v="1"/>
    <n v="0"/>
    <n v="0"/>
    <n v="0"/>
    <x v="0"/>
    <n v="0"/>
    <n v="0"/>
    <n v="0"/>
    <n v="0"/>
    <n v="61.6"/>
  </r>
  <r>
    <x v="258"/>
    <d v="2025-01-28T00:00:00"/>
    <x v="0"/>
    <s v="East"/>
    <x v="0"/>
    <x v="1"/>
    <x v="1"/>
    <n v="1"/>
    <n v="0"/>
    <n v="0"/>
    <x v="0"/>
    <n v="0"/>
    <n v="0"/>
    <n v="0"/>
    <n v="0"/>
    <n v="43.2"/>
  </r>
  <r>
    <x v="259"/>
    <d v="2025-03-16T00:00:00"/>
    <x v="0"/>
    <s v="East"/>
    <x v="0"/>
    <x v="2"/>
    <x v="0"/>
    <n v="1"/>
    <n v="0"/>
    <n v="0"/>
    <x v="0"/>
    <n v="0"/>
    <n v="1"/>
    <n v="0"/>
    <n v="0"/>
    <n v="53.3"/>
  </r>
  <r>
    <x v="260"/>
    <d v="2025-04-10T00:00:00"/>
    <x v="0"/>
    <s v="East"/>
    <x v="0"/>
    <x v="4"/>
    <x v="0"/>
    <n v="0"/>
    <n v="0"/>
    <n v="0"/>
    <x v="0"/>
    <n v="0"/>
    <n v="0"/>
    <n v="0"/>
    <n v="0"/>
    <n v="33.9"/>
  </r>
  <r>
    <x v="261"/>
    <d v="2025-03-15T00:00:00"/>
    <x v="0"/>
    <s v="East"/>
    <x v="0"/>
    <x v="3"/>
    <x v="1"/>
    <n v="1"/>
    <n v="1"/>
    <n v="1"/>
    <x v="0"/>
    <n v="0"/>
    <n v="0"/>
    <n v="0"/>
    <n v="0"/>
    <n v="35.4"/>
  </r>
  <r>
    <x v="262"/>
    <d v="2025-04-07T00:00:00"/>
    <x v="0"/>
    <s v="West"/>
    <x v="0"/>
    <x v="1"/>
    <x v="0"/>
    <n v="1"/>
    <n v="0"/>
    <n v="0"/>
    <x v="0"/>
    <n v="0"/>
    <n v="0"/>
    <n v="0"/>
    <n v="0"/>
    <n v="45"/>
  </r>
  <r>
    <x v="263"/>
    <d v="2025-02-12T00:00:00"/>
    <x v="0"/>
    <s v="South"/>
    <x v="1"/>
    <x v="1"/>
    <x v="1"/>
    <n v="1"/>
    <n v="1"/>
    <n v="0"/>
    <x v="0"/>
    <n v="0"/>
    <n v="0"/>
    <n v="0"/>
    <n v="0"/>
    <n v="86.5"/>
  </r>
  <r>
    <x v="264"/>
    <d v="2025-05-05T00:00:00"/>
    <x v="0"/>
    <s v="West"/>
    <x v="1"/>
    <x v="4"/>
    <x v="1"/>
    <n v="0"/>
    <n v="0"/>
    <n v="0"/>
    <x v="0"/>
    <n v="0"/>
    <n v="0"/>
    <n v="0"/>
    <n v="0"/>
    <n v="58.1"/>
  </r>
  <r>
    <x v="265"/>
    <d v="2025-03-11T00:00:00"/>
    <x v="0"/>
    <s v="West"/>
    <x v="1"/>
    <x v="3"/>
    <x v="1"/>
    <n v="1"/>
    <n v="0"/>
    <n v="0"/>
    <x v="0"/>
    <n v="0"/>
    <n v="0"/>
    <n v="0"/>
    <n v="0"/>
    <n v="36.1"/>
  </r>
  <r>
    <x v="266"/>
    <d v="2025-02-10T00:00:00"/>
    <x v="0"/>
    <s v="East"/>
    <x v="1"/>
    <x v="4"/>
    <x v="1"/>
    <n v="0"/>
    <n v="0"/>
    <n v="0"/>
    <x v="0"/>
    <n v="0"/>
    <n v="0"/>
    <n v="0"/>
    <n v="0"/>
    <n v="62.8"/>
  </r>
  <r>
    <x v="267"/>
    <d v="2025-04-06T00:00:00"/>
    <x v="0"/>
    <s v="South"/>
    <x v="1"/>
    <x v="1"/>
    <x v="1"/>
    <n v="0"/>
    <n v="0"/>
    <n v="0"/>
    <x v="0"/>
    <n v="0"/>
    <n v="0"/>
    <n v="0"/>
    <n v="0"/>
    <n v="54.2"/>
  </r>
  <r>
    <x v="268"/>
    <d v="2025-01-06T00:00:00"/>
    <x v="0"/>
    <s v="East"/>
    <x v="1"/>
    <x v="3"/>
    <x v="1"/>
    <n v="0"/>
    <n v="0"/>
    <n v="0"/>
    <x v="0"/>
    <n v="0"/>
    <n v="0"/>
    <n v="0"/>
    <n v="0"/>
    <n v="50"/>
  </r>
  <r>
    <x v="269"/>
    <d v="2025-03-25T00:00:00"/>
    <x v="0"/>
    <s v="East"/>
    <x v="2"/>
    <x v="2"/>
    <x v="0"/>
    <n v="1"/>
    <n v="0"/>
    <n v="0"/>
    <x v="0"/>
    <n v="0"/>
    <n v="0"/>
    <n v="0"/>
    <n v="0"/>
    <n v="62"/>
  </r>
  <r>
    <x v="270"/>
    <d v="2025-02-13T00:00:00"/>
    <x v="0"/>
    <s v="East"/>
    <x v="0"/>
    <x v="3"/>
    <x v="1"/>
    <n v="1"/>
    <n v="0"/>
    <n v="0"/>
    <x v="0"/>
    <n v="0"/>
    <n v="0"/>
    <n v="0"/>
    <n v="0"/>
    <n v="29.3"/>
  </r>
  <r>
    <x v="271"/>
    <d v="2025-03-17T00:00:00"/>
    <x v="0"/>
    <s v="West"/>
    <x v="0"/>
    <x v="1"/>
    <x v="1"/>
    <n v="1"/>
    <n v="0"/>
    <n v="0"/>
    <x v="0"/>
    <n v="0"/>
    <n v="0"/>
    <n v="0"/>
    <n v="0"/>
    <n v="67.900000000000006"/>
  </r>
  <r>
    <x v="272"/>
    <d v="2025-05-10T00:00:00"/>
    <x v="0"/>
    <s v="North"/>
    <x v="1"/>
    <x v="3"/>
    <x v="1"/>
    <n v="1"/>
    <n v="1"/>
    <n v="1"/>
    <x v="0"/>
    <n v="0"/>
    <n v="0"/>
    <n v="0"/>
    <n v="0"/>
    <n v="67.599999999999994"/>
  </r>
  <r>
    <x v="273"/>
    <d v="2025-05-07T00:00:00"/>
    <x v="0"/>
    <s v="South"/>
    <x v="1"/>
    <x v="2"/>
    <x v="0"/>
    <n v="0"/>
    <n v="0"/>
    <n v="0"/>
    <x v="0"/>
    <n v="0"/>
    <n v="0"/>
    <n v="0"/>
    <n v="0"/>
    <n v="67.400000000000006"/>
  </r>
  <r>
    <x v="274"/>
    <d v="2025-02-26T00:00:00"/>
    <x v="0"/>
    <s v="West"/>
    <x v="0"/>
    <x v="2"/>
    <x v="2"/>
    <n v="0"/>
    <n v="0"/>
    <n v="0"/>
    <x v="0"/>
    <n v="0"/>
    <n v="2"/>
    <n v="0"/>
    <n v="0"/>
    <n v="53"/>
  </r>
  <r>
    <x v="275"/>
    <d v="2025-05-11T00:00:00"/>
    <x v="0"/>
    <s v="North"/>
    <x v="1"/>
    <x v="1"/>
    <x v="0"/>
    <n v="0"/>
    <n v="0"/>
    <n v="0"/>
    <x v="0"/>
    <n v="0"/>
    <n v="0"/>
    <n v="0"/>
    <n v="0"/>
    <n v="65.5"/>
  </r>
  <r>
    <x v="276"/>
    <d v="2025-03-20T00:00:00"/>
    <x v="0"/>
    <s v="South"/>
    <x v="1"/>
    <x v="1"/>
    <x v="0"/>
    <n v="1"/>
    <n v="1"/>
    <n v="0"/>
    <x v="0"/>
    <n v="0"/>
    <n v="0"/>
    <n v="0"/>
    <n v="0"/>
    <n v="49.6"/>
  </r>
  <r>
    <x v="277"/>
    <d v="2025-01-19T00:00:00"/>
    <x v="0"/>
    <s v="North"/>
    <x v="1"/>
    <x v="0"/>
    <x v="1"/>
    <n v="1"/>
    <n v="1"/>
    <n v="0"/>
    <x v="0"/>
    <n v="0"/>
    <n v="0"/>
    <n v="0"/>
    <n v="0"/>
    <n v="74.5"/>
  </r>
  <r>
    <x v="278"/>
    <d v="2025-03-08T00:00:00"/>
    <x v="0"/>
    <s v="North"/>
    <x v="2"/>
    <x v="2"/>
    <x v="2"/>
    <n v="1"/>
    <n v="0"/>
    <n v="0"/>
    <x v="0"/>
    <n v="0"/>
    <n v="1"/>
    <n v="0"/>
    <n v="0"/>
    <n v="46.9"/>
  </r>
  <r>
    <x v="279"/>
    <d v="2025-04-25T00:00:00"/>
    <x v="0"/>
    <s v="North"/>
    <x v="1"/>
    <x v="1"/>
    <x v="1"/>
    <n v="0"/>
    <n v="0"/>
    <n v="0"/>
    <x v="0"/>
    <n v="0"/>
    <n v="0"/>
    <n v="0"/>
    <n v="0"/>
    <n v="87.1"/>
  </r>
  <r>
    <x v="280"/>
    <d v="2025-04-04T00:00:00"/>
    <x v="0"/>
    <s v="North"/>
    <x v="0"/>
    <x v="1"/>
    <x v="1"/>
    <n v="1"/>
    <n v="0"/>
    <n v="0"/>
    <x v="0"/>
    <n v="0"/>
    <n v="0"/>
    <n v="0"/>
    <n v="0"/>
    <n v="56"/>
  </r>
  <r>
    <x v="281"/>
    <d v="2025-05-01T00:00:00"/>
    <x v="0"/>
    <s v="East"/>
    <x v="1"/>
    <x v="2"/>
    <x v="2"/>
    <n v="1"/>
    <n v="0"/>
    <n v="0"/>
    <x v="0"/>
    <n v="0"/>
    <n v="1"/>
    <n v="0"/>
    <n v="0"/>
    <n v="61.7"/>
  </r>
  <r>
    <x v="282"/>
    <d v="2025-01-21T00:00:00"/>
    <x v="0"/>
    <s v="South"/>
    <x v="1"/>
    <x v="4"/>
    <x v="1"/>
    <n v="1"/>
    <n v="0"/>
    <n v="0"/>
    <x v="0"/>
    <n v="0"/>
    <n v="1"/>
    <n v="0"/>
    <n v="0"/>
    <n v="70.5"/>
  </r>
  <r>
    <x v="283"/>
    <d v="2025-02-10T00:00:00"/>
    <x v="0"/>
    <s v="North"/>
    <x v="0"/>
    <x v="3"/>
    <x v="0"/>
    <n v="1"/>
    <n v="0"/>
    <n v="0"/>
    <x v="0"/>
    <n v="0"/>
    <n v="0"/>
    <n v="0"/>
    <n v="0"/>
    <n v="33.4"/>
  </r>
  <r>
    <x v="284"/>
    <d v="2025-05-06T00:00:00"/>
    <x v="0"/>
    <s v="South"/>
    <x v="0"/>
    <x v="1"/>
    <x v="1"/>
    <n v="1"/>
    <n v="0"/>
    <n v="0"/>
    <x v="0"/>
    <n v="0"/>
    <n v="0"/>
    <n v="0"/>
    <n v="0"/>
    <n v="57.5"/>
  </r>
  <r>
    <x v="285"/>
    <d v="2025-02-08T00:00:00"/>
    <x v="0"/>
    <s v="North"/>
    <x v="0"/>
    <x v="2"/>
    <x v="0"/>
    <n v="1"/>
    <n v="1"/>
    <n v="0"/>
    <x v="0"/>
    <n v="0"/>
    <n v="0"/>
    <n v="0"/>
    <n v="0"/>
    <n v="85.7"/>
  </r>
  <r>
    <x v="286"/>
    <d v="2025-05-31T00:00:00"/>
    <x v="0"/>
    <s v="East"/>
    <x v="1"/>
    <x v="4"/>
    <x v="1"/>
    <n v="1"/>
    <n v="0"/>
    <n v="0"/>
    <x v="0"/>
    <n v="0"/>
    <n v="0"/>
    <n v="0"/>
    <n v="0"/>
    <n v="41.9"/>
  </r>
  <r>
    <x v="287"/>
    <d v="2025-02-07T00:00:00"/>
    <x v="0"/>
    <s v="West"/>
    <x v="1"/>
    <x v="0"/>
    <x v="0"/>
    <n v="1"/>
    <n v="0"/>
    <n v="0"/>
    <x v="0"/>
    <n v="0"/>
    <n v="0"/>
    <n v="0"/>
    <n v="0"/>
    <n v="70.2"/>
  </r>
  <r>
    <x v="288"/>
    <d v="2025-02-10T00:00:00"/>
    <x v="0"/>
    <s v="North"/>
    <x v="1"/>
    <x v="4"/>
    <x v="1"/>
    <n v="1"/>
    <n v="0"/>
    <n v="0"/>
    <x v="0"/>
    <n v="0"/>
    <n v="0"/>
    <n v="0"/>
    <n v="0"/>
    <n v="42.6"/>
  </r>
  <r>
    <x v="289"/>
    <d v="2025-01-31T00:00:00"/>
    <x v="0"/>
    <s v="West"/>
    <x v="1"/>
    <x v="4"/>
    <x v="0"/>
    <n v="0"/>
    <n v="0"/>
    <n v="0"/>
    <x v="0"/>
    <n v="0"/>
    <n v="2"/>
    <n v="0"/>
    <n v="0"/>
    <n v="30.4"/>
  </r>
  <r>
    <x v="290"/>
    <d v="2025-03-16T00:00:00"/>
    <x v="0"/>
    <s v="East"/>
    <x v="1"/>
    <x v="2"/>
    <x v="0"/>
    <n v="1"/>
    <n v="0"/>
    <n v="0"/>
    <x v="0"/>
    <n v="0"/>
    <n v="0"/>
    <n v="0"/>
    <n v="0"/>
    <n v="63.7"/>
  </r>
  <r>
    <x v="291"/>
    <d v="2025-04-24T00:00:00"/>
    <x v="0"/>
    <s v="South"/>
    <x v="1"/>
    <x v="4"/>
    <x v="0"/>
    <n v="0"/>
    <n v="0"/>
    <n v="0"/>
    <x v="0"/>
    <n v="0"/>
    <n v="0"/>
    <n v="0"/>
    <n v="0"/>
    <n v="42.7"/>
  </r>
  <r>
    <x v="292"/>
    <d v="2025-01-28T00:00:00"/>
    <x v="0"/>
    <s v="North"/>
    <x v="1"/>
    <x v="1"/>
    <x v="1"/>
    <n v="0"/>
    <n v="0"/>
    <n v="0"/>
    <x v="0"/>
    <n v="0"/>
    <n v="0"/>
    <n v="0"/>
    <n v="0"/>
    <n v="74.3"/>
  </r>
  <r>
    <x v="293"/>
    <d v="2025-02-16T00:00:00"/>
    <x v="0"/>
    <s v="West"/>
    <x v="0"/>
    <x v="0"/>
    <x v="1"/>
    <n v="1"/>
    <n v="0"/>
    <n v="0"/>
    <x v="0"/>
    <n v="0"/>
    <n v="0"/>
    <n v="0"/>
    <n v="0"/>
    <n v="40.6"/>
  </r>
  <r>
    <x v="294"/>
    <d v="2025-03-23T00:00:00"/>
    <x v="0"/>
    <s v="East"/>
    <x v="1"/>
    <x v="1"/>
    <x v="2"/>
    <n v="0"/>
    <n v="0"/>
    <n v="0"/>
    <x v="0"/>
    <n v="0"/>
    <n v="0"/>
    <n v="0"/>
    <n v="0"/>
    <n v="67"/>
  </r>
  <r>
    <x v="295"/>
    <d v="2025-05-31T00:00:00"/>
    <x v="0"/>
    <s v="East"/>
    <x v="1"/>
    <x v="2"/>
    <x v="2"/>
    <n v="0"/>
    <n v="0"/>
    <n v="0"/>
    <x v="0"/>
    <n v="0"/>
    <n v="0"/>
    <n v="0"/>
    <n v="0"/>
    <n v="51"/>
  </r>
  <r>
    <x v="296"/>
    <d v="2025-04-13T00:00:00"/>
    <x v="0"/>
    <s v="West"/>
    <x v="1"/>
    <x v="4"/>
    <x v="0"/>
    <n v="1"/>
    <n v="1"/>
    <n v="0"/>
    <x v="0"/>
    <n v="0"/>
    <n v="1"/>
    <n v="0"/>
    <n v="0"/>
    <n v="54.8"/>
  </r>
  <r>
    <x v="297"/>
    <d v="2025-05-14T00:00:00"/>
    <x v="0"/>
    <s v="North"/>
    <x v="2"/>
    <x v="0"/>
    <x v="0"/>
    <n v="0"/>
    <n v="0"/>
    <n v="0"/>
    <x v="0"/>
    <n v="0"/>
    <n v="0"/>
    <n v="0"/>
    <n v="0"/>
    <n v="40.799999999999997"/>
  </r>
  <r>
    <x v="298"/>
    <d v="2025-02-19T00:00:00"/>
    <x v="0"/>
    <s v="East"/>
    <x v="1"/>
    <x v="2"/>
    <x v="1"/>
    <n v="0"/>
    <n v="0"/>
    <n v="0"/>
    <x v="0"/>
    <n v="0"/>
    <n v="0"/>
    <n v="0"/>
    <n v="0"/>
    <n v="48.8"/>
  </r>
  <r>
    <x v="299"/>
    <d v="2025-01-24T00:00:00"/>
    <x v="0"/>
    <s v="South"/>
    <x v="1"/>
    <x v="5"/>
    <x v="0"/>
    <n v="1"/>
    <n v="1"/>
    <n v="1"/>
    <x v="1"/>
    <n v="1198.69"/>
    <n v="1"/>
    <n v="0"/>
    <n v="6"/>
    <n v="88.9"/>
  </r>
  <r>
    <x v="300"/>
    <d v="2025-05-09T00:00:00"/>
    <x v="0"/>
    <s v="North"/>
    <x v="1"/>
    <x v="0"/>
    <x v="0"/>
    <n v="1"/>
    <n v="1"/>
    <n v="1"/>
    <x v="0"/>
    <n v="0"/>
    <n v="1"/>
    <n v="0"/>
    <n v="0"/>
    <n v="60.5"/>
  </r>
  <r>
    <x v="301"/>
    <d v="2025-02-11T00:00:00"/>
    <x v="0"/>
    <s v="North"/>
    <x v="1"/>
    <x v="1"/>
    <x v="0"/>
    <n v="1"/>
    <n v="0"/>
    <n v="0"/>
    <x v="0"/>
    <n v="0"/>
    <n v="0"/>
    <n v="0"/>
    <n v="0"/>
    <n v="63.6"/>
  </r>
  <r>
    <x v="302"/>
    <d v="2025-02-26T00:00:00"/>
    <x v="0"/>
    <s v="North"/>
    <x v="0"/>
    <x v="1"/>
    <x v="0"/>
    <n v="1"/>
    <n v="1"/>
    <n v="1"/>
    <x v="1"/>
    <n v="6788.95"/>
    <n v="0"/>
    <n v="0"/>
    <n v="17"/>
    <n v="58.4"/>
  </r>
  <r>
    <x v="303"/>
    <d v="2025-02-12T00:00:00"/>
    <x v="0"/>
    <s v="South"/>
    <x v="1"/>
    <x v="4"/>
    <x v="2"/>
    <n v="0"/>
    <n v="0"/>
    <n v="0"/>
    <x v="0"/>
    <n v="0"/>
    <n v="0"/>
    <n v="0"/>
    <n v="0"/>
    <n v="52.7"/>
  </r>
  <r>
    <x v="304"/>
    <d v="2025-01-05T00:00:00"/>
    <x v="0"/>
    <s v="South"/>
    <x v="2"/>
    <x v="4"/>
    <x v="2"/>
    <n v="1"/>
    <n v="1"/>
    <n v="1"/>
    <x v="0"/>
    <n v="0"/>
    <n v="2"/>
    <n v="0"/>
    <n v="0"/>
    <n v="48.9"/>
  </r>
  <r>
    <x v="305"/>
    <d v="2025-05-19T00:00:00"/>
    <x v="0"/>
    <s v="West"/>
    <x v="1"/>
    <x v="1"/>
    <x v="2"/>
    <n v="0"/>
    <n v="0"/>
    <n v="0"/>
    <x v="0"/>
    <n v="0"/>
    <n v="0"/>
    <n v="0"/>
    <n v="0"/>
    <n v="79.7"/>
  </r>
  <r>
    <x v="306"/>
    <d v="2025-02-02T00:00:00"/>
    <x v="0"/>
    <s v="North"/>
    <x v="1"/>
    <x v="4"/>
    <x v="1"/>
    <n v="1"/>
    <n v="0"/>
    <n v="0"/>
    <x v="0"/>
    <n v="0"/>
    <n v="0"/>
    <n v="0"/>
    <n v="0"/>
    <n v="44.9"/>
  </r>
  <r>
    <x v="307"/>
    <d v="2025-01-30T00:00:00"/>
    <x v="0"/>
    <s v="West"/>
    <x v="2"/>
    <x v="2"/>
    <x v="1"/>
    <n v="1"/>
    <n v="1"/>
    <n v="1"/>
    <x v="1"/>
    <n v="409.39"/>
    <n v="0"/>
    <n v="0"/>
    <n v="10"/>
    <n v="38.799999999999997"/>
  </r>
  <r>
    <x v="308"/>
    <d v="2025-05-01T00:00:00"/>
    <x v="0"/>
    <s v="South"/>
    <x v="0"/>
    <x v="0"/>
    <x v="1"/>
    <n v="0"/>
    <n v="0"/>
    <n v="0"/>
    <x v="0"/>
    <n v="0"/>
    <n v="0"/>
    <n v="0"/>
    <n v="0"/>
    <n v="70"/>
  </r>
  <r>
    <x v="309"/>
    <d v="2025-05-16T00:00:00"/>
    <x v="0"/>
    <s v="South"/>
    <x v="0"/>
    <x v="3"/>
    <x v="0"/>
    <n v="1"/>
    <n v="0"/>
    <n v="0"/>
    <x v="0"/>
    <n v="0"/>
    <n v="0"/>
    <n v="0"/>
    <n v="0"/>
    <n v="77.7"/>
  </r>
  <r>
    <x v="310"/>
    <d v="2025-03-08T00:00:00"/>
    <x v="0"/>
    <s v="West"/>
    <x v="1"/>
    <x v="1"/>
    <x v="1"/>
    <n v="0"/>
    <n v="0"/>
    <n v="0"/>
    <x v="0"/>
    <n v="0"/>
    <n v="0"/>
    <n v="0"/>
    <n v="0"/>
    <n v="71.2"/>
  </r>
  <r>
    <x v="311"/>
    <d v="2025-04-04T00:00:00"/>
    <x v="0"/>
    <s v="North"/>
    <x v="1"/>
    <x v="1"/>
    <x v="0"/>
    <n v="1"/>
    <n v="0"/>
    <n v="0"/>
    <x v="0"/>
    <n v="0"/>
    <n v="0"/>
    <n v="0"/>
    <n v="0"/>
    <n v="43.8"/>
  </r>
  <r>
    <x v="312"/>
    <d v="2025-05-30T00:00:00"/>
    <x v="0"/>
    <s v="South"/>
    <x v="2"/>
    <x v="1"/>
    <x v="1"/>
    <n v="1"/>
    <n v="0"/>
    <n v="0"/>
    <x v="0"/>
    <n v="0"/>
    <n v="0"/>
    <n v="0"/>
    <n v="0"/>
    <n v="50.9"/>
  </r>
  <r>
    <x v="313"/>
    <d v="2025-01-05T00:00:00"/>
    <x v="0"/>
    <s v="West"/>
    <x v="1"/>
    <x v="1"/>
    <x v="2"/>
    <n v="0"/>
    <n v="0"/>
    <n v="0"/>
    <x v="0"/>
    <n v="0"/>
    <n v="0"/>
    <n v="0"/>
    <n v="0"/>
    <n v="58.5"/>
  </r>
  <r>
    <x v="314"/>
    <d v="2025-01-20T00:00:00"/>
    <x v="0"/>
    <s v="East"/>
    <x v="1"/>
    <x v="1"/>
    <x v="1"/>
    <n v="1"/>
    <n v="1"/>
    <n v="1"/>
    <x v="0"/>
    <n v="0"/>
    <n v="0"/>
    <n v="0"/>
    <n v="0"/>
    <n v="53.6"/>
  </r>
  <r>
    <x v="315"/>
    <d v="2025-05-01T00:00:00"/>
    <x v="0"/>
    <s v="East"/>
    <x v="1"/>
    <x v="0"/>
    <x v="1"/>
    <n v="0"/>
    <n v="0"/>
    <n v="0"/>
    <x v="0"/>
    <n v="0"/>
    <n v="0"/>
    <n v="0"/>
    <n v="0"/>
    <n v="54.9"/>
  </r>
  <r>
    <x v="316"/>
    <d v="2025-03-05T00:00:00"/>
    <x v="0"/>
    <s v="North"/>
    <x v="0"/>
    <x v="1"/>
    <x v="2"/>
    <n v="0"/>
    <n v="0"/>
    <n v="0"/>
    <x v="0"/>
    <n v="0"/>
    <n v="0"/>
    <n v="0"/>
    <n v="0"/>
    <n v="57.3"/>
  </r>
  <r>
    <x v="317"/>
    <d v="2025-04-01T00:00:00"/>
    <x v="0"/>
    <s v="East"/>
    <x v="0"/>
    <x v="3"/>
    <x v="1"/>
    <n v="1"/>
    <n v="0"/>
    <n v="0"/>
    <x v="0"/>
    <n v="0"/>
    <n v="0"/>
    <n v="0"/>
    <n v="0"/>
    <n v="52.1"/>
  </r>
  <r>
    <x v="318"/>
    <d v="2025-05-03T00:00:00"/>
    <x v="0"/>
    <s v="North"/>
    <x v="1"/>
    <x v="1"/>
    <x v="1"/>
    <n v="1"/>
    <n v="0"/>
    <n v="0"/>
    <x v="0"/>
    <n v="0"/>
    <n v="0"/>
    <n v="0"/>
    <n v="0"/>
    <n v="80"/>
  </r>
  <r>
    <x v="319"/>
    <d v="2025-03-06T00:00:00"/>
    <x v="0"/>
    <s v="South"/>
    <x v="0"/>
    <x v="2"/>
    <x v="2"/>
    <n v="1"/>
    <n v="0"/>
    <n v="0"/>
    <x v="0"/>
    <n v="0"/>
    <n v="0"/>
    <n v="0"/>
    <n v="0"/>
    <n v="39.299999999999997"/>
  </r>
  <r>
    <x v="320"/>
    <d v="2025-04-01T00:00:00"/>
    <x v="0"/>
    <s v="North"/>
    <x v="0"/>
    <x v="3"/>
    <x v="2"/>
    <n v="0"/>
    <n v="0"/>
    <n v="0"/>
    <x v="0"/>
    <n v="0"/>
    <n v="0"/>
    <n v="0"/>
    <n v="0"/>
    <n v="45.7"/>
  </r>
  <r>
    <x v="321"/>
    <d v="2025-02-09T00:00:00"/>
    <x v="0"/>
    <s v="North"/>
    <x v="0"/>
    <x v="4"/>
    <x v="0"/>
    <n v="1"/>
    <n v="0"/>
    <n v="0"/>
    <x v="0"/>
    <n v="0"/>
    <n v="2"/>
    <n v="0"/>
    <n v="0"/>
    <n v="61.2"/>
  </r>
  <r>
    <x v="322"/>
    <d v="2025-04-12T00:00:00"/>
    <x v="0"/>
    <s v="West"/>
    <x v="1"/>
    <x v="1"/>
    <x v="0"/>
    <n v="1"/>
    <n v="1"/>
    <n v="0"/>
    <x v="0"/>
    <n v="0"/>
    <n v="0"/>
    <n v="0"/>
    <n v="0"/>
    <n v="66.2"/>
  </r>
  <r>
    <x v="323"/>
    <d v="2025-03-18T00:00:00"/>
    <x v="0"/>
    <s v="East"/>
    <x v="1"/>
    <x v="4"/>
    <x v="1"/>
    <n v="1"/>
    <n v="1"/>
    <n v="1"/>
    <x v="0"/>
    <n v="0"/>
    <n v="0"/>
    <n v="0"/>
    <n v="0"/>
    <n v="61.3"/>
  </r>
  <r>
    <x v="324"/>
    <d v="2025-04-03T00:00:00"/>
    <x v="0"/>
    <s v="East"/>
    <x v="1"/>
    <x v="2"/>
    <x v="1"/>
    <n v="1"/>
    <n v="0"/>
    <n v="0"/>
    <x v="0"/>
    <n v="0"/>
    <n v="0"/>
    <n v="0"/>
    <n v="0"/>
    <n v="72.2"/>
  </r>
  <r>
    <x v="325"/>
    <d v="2025-04-02T00:00:00"/>
    <x v="0"/>
    <s v="West"/>
    <x v="1"/>
    <x v="0"/>
    <x v="2"/>
    <n v="1"/>
    <n v="1"/>
    <n v="1"/>
    <x v="0"/>
    <n v="0"/>
    <n v="0"/>
    <n v="0"/>
    <n v="0"/>
    <n v="84"/>
  </r>
  <r>
    <x v="326"/>
    <d v="2025-05-10T00:00:00"/>
    <x v="0"/>
    <s v="West"/>
    <x v="0"/>
    <x v="0"/>
    <x v="0"/>
    <n v="0"/>
    <n v="0"/>
    <n v="0"/>
    <x v="0"/>
    <n v="0"/>
    <n v="0"/>
    <n v="0"/>
    <n v="0"/>
    <n v="59.8"/>
  </r>
  <r>
    <x v="327"/>
    <d v="2025-04-29T00:00:00"/>
    <x v="0"/>
    <s v="West"/>
    <x v="0"/>
    <x v="2"/>
    <x v="1"/>
    <n v="1"/>
    <n v="0"/>
    <n v="0"/>
    <x v="0"/>
    <n v="0"/>
    <n v="0"/>
    <n v="0"/>
    <n v="0"/>
    <n v="64.900000000000006"/>
  </r>
  <r>
    <x v="328"/>
    <d v="2025-02-27T00:00:00"/>
    <x v="0"/>
    <s v="South"/>
    <x v="1"/>
    <x v="2"/>
    <x v="1"/>
    <n v="1"/>
    <n v="0"/>
    <n v="0"/>
    <x v="0"/>
    <n v="0"/>
    <n v="0"/>
    <n v="0"/>
    <n v="0"/>
    <n v="66.8"/>
  </r>
  <r>
    <x v="329"/>
    <d v="2025-04-10T00:00:00"/>
    <x v="0"/>
    <s v="North"/>
    <x v="0"/>
    <x v="1"/>
    <x v="2"/>
    <n v="0"/>
    <n v="0"/>
    <n v="0"/>
    <x v="0"/>
    <n v="0"/>
    <n v="0"/>
    <n v="0"/>
    <n v="0"/>
    <n v="70.900000000000006"/>
  </r>
  <r>
    <x v="330"/>
    <d v="2025-02-13T00:00:00"/>
    <x v="0"/>
    <s v="East"/>
    <x v="1"/>
    <x v="1"/>
    <x v="1"/>
    <n v="1"/>
    <n v="1"/>
    <n v="1"/>
    <x v="1"/>
    <n v="426.82"/>
    <n v="1"/>
    <n v="0"/>
    <n v="14"/>
    <n v="68.8"/>
  </r>
  <r>
    <x v="331"/>
    <d v="2025-05-03T00:00:00"/>
    <x v="0"/>
    <s v="North"/>
    <x v="1"/>
    <x v="1"/>
    <x v="0"/>
    <n v="1"/>
    <n v="0"/>
    <n v="0"/>
    <x v="0"/>
    <n v="0"/>
    <n v="0"/>
    <n v="0"/>
    <n v="0"/>
    <n v="72.400000000000006"/>
  </r>
  <r>
    <x v="332"/>
    <d v="2025-03-10T00:00:00"/>
    <x v="0"/>
    <s v="East"/>
    <x v="1"/>
    <x v="1"/>
    <x v="0"/>
    <n v="0"/>
    <n v="0"/>
    <n v="0"/>
    <x v="0"/>
    <n v="0"/>
    <n v="0"/>
    <n v="0"/>
    <n v="0"/>
    <n v="63.3"/>
  </r>
  <r>
    <x v="333"/>
    <d v="2025-01-10T00:00:00"/>
    <x v="0"/>
    <s v="West"/>
    <x v="2"/>
    <x v="4"/>
    <x v="1"/>
    <n v="1"/>
    <n v="0"/>
    <n v="0"/>
    <x v="0"/>
    <n v="0"/>
    <n v="0"/>
    <n v="0"/>
    <n v="0"/>
    <n v="30.8"/>
  </r>
  <r>
    <x v="334"/>
    <d v="2025-01-16T00:00:00"/>
    <x v="0"/>
    <s v="South"/>
    <x v="1"/>
    <x v="0"/>
    <x v="0"/>
    <n v="1"/>
    <n v="1"/>
    <n v="1"/>
    <x v="1"/>
    <n v="874.55"/>
    <n v="0"/>
    <n v="0"/>
    <n v="9"/>
    <n v="44.2"/>
  </r>
  <r>
    <x v="335"/>
    <d v="2025-02-11T00:00:00"/>
    <x v="0"/>
    <s v="South"/>
    <x v="0"/>
    <x v="1"/>
    <x v="2"/>
    <n v="1"/>
    <n v="1"/>
    <n v="1"/>
    <x v="1"/>
    <n v="2206.88"/>
    <n v="0"/>
    <n v="0"/>
    <n v="10"/>
    <n v="56.2"/>
  </r>
  <r>
    <x v="336"/>
    <d v="2025-04-13T00:00:00"/>
    <x v="0"/>
    <s v="West"/>
    <x v="1"/>
    <x v="1"/>
    <x v="1"/>
    <n v="0"/>
    <n v="0"/>
    <n v="0"/>
    <x v="0"/>
    <n v="0"/>
    <n v="0"/>
    <n v="0"/>
    <n v="0"/>
    <n v="40.4"/>
  </r>
  <r>
    <x v="337"/>
    <d v="2025-02-08T00:00:00"/>
    <x v="0"/>
    <s v="East"/>
    <x v="1"/>
    <x v="2"/>
    <x v="1"/>
    <n v="1"/>
    <n v="1"/>
    <n v="1"/>
    <x v="0"/>
    <n v="0"/>
    <n v="0"/>
    <n v="0"/>
    <n v="0"/>
    <n v="68.099999999999994"/>
  </r>
  <r>
    <x v="338"/>
    <d v="2025-03-31T00:00:00"/>
    <x v="0"/>
    <s v="West"/>
    <x v="0"/>
    <x v="3"/>
    <x v="1"/>
    <n v="1"/>
    <n v="0"/>
    <n v="0"/>
    <x v="0"/>
    <n v="0"/>
    <n v="0"/>
    <n v="0"/>
    <n v="0"/>
    <n v="86.3"/>
  </r>
  <r>
    <x v="339"/>
    <d v="2025-01-31T00:00:00"/>
    <x v="0"/>
    <s v="West"/>
    <x v="0"/>
    <x v="3"/>
    <x v="1"/>
    <n v="1"/>
    <n v="1"/>
    <n v="0"/>
    <x v="0"/>
    <n v="0"/>
    <n v="0"/>
    <n v="0"/>
    <n v="0"/>
    <n v="42.9"/>
  </r>
  <r>
    <x v="340"/>
    <d v="2025-05-08T00:00:00"/>
    <x v="0"/>
    <s v="West"/>
    <x v="2"/>
    <x v="1"/>
    <x v="1"/>
    <n v="0"/>
    <n v="0"/>
    <n v="0"/>
    <x v="0"/>
    <n v="0"/>
    <n v="0"/>
    <n v="0"/>
    <n v="0"/>
    <n v="61.4"/>
  </r>
  <r>
    <x v="341"/>
    <d v="2025-03-15T00:00:00"/>
    <x v="0"/>
    <s v="North"/>
    <x v="1"/>
    <x v="2"/>
    <x v="1"/>
    <n v="1"/>
    <n v="0"/>
    <n v="0"/>
    <x v="0"/>
    <n v="0"/>
    <n v="1"/>
    <n v="0"/>
    <n v="0"/>
    <n v="73.3"/>
  </r>
  <r>
    <x v="342"/>
    <d v="2025-01-13T00:00:00"/>
    <x v="0"/>
    <s v="South"/>
    <x v="1"/>
    <x v="3"/>
    <x v="0"/>
    <n v="1"/>
    <n v="0"/>
    <n v="0"/>
    <x v="0"/>
    <n v="0"/>
    <n v="0"/>
    <n v="0"/>
    <n v="0"/>
    <n v="59.4"/>
  </r>
  <r>
    <x v="343"/>
    <d v="2025-03-07T00:00:00"/>
    <x v="0"/>
    <s v="South"/>
    <x v="2"/>
    <x v="1"/>
    <x v="0"/>
    <n v="1"/>
    <n v="0"/>
    <n v="0"/>
    <x v="0"/>
    <n v="0"/>
    <n v="0"/>
    <n v="0"/>
    <n v="0"/>
    <n v="35.200000000000003"/>
  </r>
  <r>
    <x v="344"/>
    <d v="2025-02-10T00:00:00"/>
    <x v="0"/>
    <s v="South"/>
    <x v="1"/>
    <x v="4"/>
    <x v="2"/>
    <n v="1"/>
    <n v="1"/>
    <n v="0"/>
    <x v="0"/>
    <n v="0"/>
    <n v="0"/>
    <n v="0"/>
    <n v="0"/>
    <n v="55.3"/>
  </r>
  <r>
    <x v="345"/>
    <d v="2025-03-12T00:00:00"/>
    <x v="0"/>
    <s v="East"/>
    <x v="1"/>
    <x v="2"/>
    <x v="1"/>
    <n v="0"/>
    <n v="0"/>
    <n v="0"/>
    <x v="0"/>
    <n v="0"/>
    <n v="0"/>
    <n v="0"/>
    <n v="0"/>
    <n v="37.5"/>
  </r>
  <r>
    <x v="346"/>
    <d v="2025-01-03T00:00:00"/>
    <x v="0"/>
    <s v="South"/>
    <x v="0"/>
    <x v="2"/>
    <x v="1"/>
    <n v="0"/>
    <n v="0"/>
    <n v="0"/>
    <x v="0"/>
    <n v="0"/>
    <n v="1"/>
    <n v="0"/>
    <n v="0"/>
    <n v="66.400000000000006"/>
  </r>
  <r>
    <x v="347"/>
    <d v="2025-04-28T00:00:00"/>
    <x v="0"/>
    <s v="North"/>
    <x v="2"/>
    <x v="4"/>
    <x v="0"/>
    <n v="1"/>
    <n v="0"/>
    <n v="0"/>
    <x v="0"/>
    <n v="0"/>
    <n v="0"/>
    <n v="0"/>
    <n v="0"/>
    <n v="61.9"/>
  </r>
  <r>
    <x v="348"/>
    <d v="2025-04-17T00:00:00"/>
    <x v="0"/>
    <s v="East"/>
    <x v="1"/>
    <x v="1"/>
    <x v="1"/>
    <n v="0"/>
    <n v="0"/>
    <n v="0"/>
    <x v="0"/>
    <n v="0"/>
    <n v="0"/>
    <n v="0"/>
    <n v="0"/>
    <n v="56"/>
  </r>
  <r>
    <x v="349"/>
    <d v="2025-05-23T00:00:00"/>
    <x v="0"/>
    <s v="South"/>
    <x v="0"/>
    <x v="4"/>
    <x v="0"/>
    <n v="1"/>
    <n v="0"/>
    <n v="0"/>
    <x v="0"/>
    <n v="0"/>
    <n v="0"/>
    <n v="0"/>
    <n v="0"/>
    <n v="55.5"/>
  </r>
  <r>
    <x v="350"/>
    <d v="2025-02-19T00:00:00"/>
    <x v="0"/>
    <s v="West"/>
    <x v="2"/>
    <x v="3"/>
    <x v="0"/>
    <n v="1"/>
    <n v="0"/>
    <n v="0"/>
    <x v="0"/>
    <n v="0"/>
    <n v="0"/>
    <n v="0"/>
    <n v="0"/>
    <n v="37.200000000000003"/>
  </r>
  <r>
    <x v="351"/>
    <d v="2025-01-18T00:00:00"/>
    <x v="0"/>
    <s v="South"/>
    <x v="0"/>
    <x v="1"/>
    <x v="1"/>
    <n v="1"/>
    <n v="1"/>
    <n v="0"/>
    <x v="0"/>
    <n v="0"/>
    <n v="1"/>
    <n v="0"/>
    <n v="0"/>
    <n v="70.5"/>
  </r>
  <r>
    <x v="352"/>
    <d v="2025-04-17T00:00:00"/>
    <x v="0"/>
    <s v="North"/>
    <x v="1"/>
    <x v="1"/>
    <x v="1"/>
    <n v="0"/>
    <n v="0"/>
    <n v="0"/>
    <x v="0"/>
    <n v="0"/>
    <n v="0"/>
    <n v="0"/>
    <n v="0"/>
    <n v="61.2"/>
  </r>
  <r>
    <x v="353"/>
    <d v="2025-04-12T00:00:00"/>
    <x v="0"/>
    <s v="East"/>
    <x v="2"/>
    <x v="4"/>
    <x v="1"/>
    <n v="1"/>
    <n v="1"/>
    <n v="1"/>
    <x v="0"/>
    <n v="0"/>
    <n v="0"/>
    <n v="0"/>
    <n v="0"/>
    <n v="64.599999999999994"/>
  </r>
  <r>
    <x v="354"/>
    <d v="2025-05-16T00:00:00"/>
    <x v="0"/>
    <s v="East"/>
    <x v="1"/>
    <x v="0"/>
    <x v="1"/>
    <n v="1"/>
    <n v="1"/>
    <n v="0"/>
    <x v="0"/>
    <n v="0"/>
    <n v="0"/>
    <n v="0"/>
    <n v="0"/>
    <n v="91.7"/>
  </r>
  <r>
    <x v="355"/>
    <d v="2025-03-24T00:00:00"/>
    <x v="0"/>
    <s v="West"/>
    <x v="1"/>
    <x v="4"/>
    <x v="1"/>
    <n v="0"/>
    <n v="0"/>
    <n v="0"/>
    <x v="0"/>
    <n v="0"/>
    <n v="0"/>
    <n v="0"/>
    <n v="0"/>
    <n v="46"/>
  </r>
  <r>
    <x v="356"/>
    <d v="2025-02-16T00:00:00"/>
    <x v="0"/>
    <s v="West"/>
    <x v="1"/>
    <x v="1"/>
    <x v="0"/>
    <n v="0"/>
    <n v="0"/>
    <n v="0"/>
    <x v="0"/>
    <n v="0"/>
    <n v="0"/>
    <n v="0"/>
    <n v="0"/>
    <n v="50.8"/>
  </r>
  <r>
    <x v="357"/>
    <d v="2025-03-19T00:00:00"/>
    <x v="0"/>
    <s v="North"/>
    <x v="2"/>
    <x v="1"/>
    <x v="1"/>
    <n v="1"/>
    <n v="1"/>
    <n v="1"/>
    <x v="0"/>
    <n v="0"/>
    <n v="0"/>
    <n v="0"/>
    <n v="0"/>
    <n v="52.8"/>
  </r>
  <r>
    <x v="358"/>
    <d v="2025-04-21T00:00:00"/>
    <x v="0"/>
    <s v="South"/>
    <x v="1"/>
    <x v="1"/>
    <x v="0"/>
    <n v="1"/>
    <n v="1"/>
    <n v="1"/>
    <x v="0"/>
    <n v="0"/>
    <n v="0"/>
    <n v="0"/>
    <n v="0"/>
    <n v="63"/>
  </r>
  <r>
    <x v="359"/>
    <d v="2025-01-11T00:00:00"/>
    <x v="0"/>
    <s v="West"/>
    <x v="1"/>
    <x v="1"/>
    <x v="1"/>
    <n v="0"/>
    <n v="0"/>
    <n v="0"/>
    <x v="0"/>
    <n v="0"/>
    <n v="0"/>
    <n v="0"/>
    <n v="0"/>
    <n v="28.4"/>
  </r>
  <r>
    <x v="360"/>
    <d v="2025-04-24T00:00:00"/>
    <x v="0"/>
    <s v="West"/>
    <x v="0"/>
    <x v="1"/>
    <x v="1"/>
    <n v="1"/>
    <n v="1"/>
    <n v="0"/>
    <x v="0"/>
    <n v="0"/>
    <n v="0"/>
    <n v="0"/>
    <n v="0"/>
    <n v="65.599999999999994"/>
  </r>
  <r>
    <x v="361"/>
    <d v="2025-03-13T00:00:00"/>
    <x v="0"/>
    <s v="North"/>
    <x v="1"/>
    <x v="4"/>
    <x v="2"/>
    <n v="1"/>
    <n v="1"/>
    <n v="1"/>
    <x v="0"/>
    <n v="0"/>
    <n v="0"/>
    <n v="0"/>
    <n v="0"/>
    <n v="54.7"/>
  </r>
  <r>
    <x v="362"/>
    <d v="2025-01-30T00:00:00"/>
    <x v="0"/>
    <s v="North"/>
    <x v="1"/>
    <x v="4"/>
    <x v="0"/>
    <n v="0"/>
    <n v="0"/>
    <n v="0"/>
    <x v="0"/>
    <n v="0"/>
    <n v="0"/>
    <n v="0"/>
    <n v="0"/>
    <n v="36.1"/>
  </r>
  <r>
    <x v="363"/>
    <d v="2025-05-08T00:00:00"/>
    <x v="0"/>
    <s v="South"/>
    <x v="1"/>
    <x v="4"/>
    <x v="0"/>
    <n v="1"/>
    <n v="1"/>
    <n v="1"/>
    <x v="0"/>
    <n v="0"/>
    <n v="0"/>
    <n v="0"/>
    <n v="0"/>
    <n v="70.400000000000006"/>
  </r>
  <r>
    <x v="364"/>
    <d v="2025-01-08T00:00:00"/>
    <x v="0"/>
    <s v="East"/>
    <x v="0"/>
    <x v="4"/>
    <x v="1"/>
    <n v="1"/>
    <n v="0"/>
    <n v="0"/>
    <x v="0"/>
    <n v="0"/>
    <n v="0"/>
    <n v="0"/>
    <n v="0"/>
    <n v="56.4"/>
  </r>
  <r>
    <x v="365"/>
    <d v="2025-05-03T00:00:00"/>
    <x v="0"/>
    <s v="South"/>
    <x v="1"/>
    <x v="1"/>
    <x v="1"/>
    <n v="1"/>
    <n v="0"/>
    <n v="0"/>
    <x v="0"/>
    <n v="0"/>
    <n v="0"/>
    <n v="0"/>
    <n v="0"/>
    <n v="79.2"/>
  </r>
  <r>
    <x v="366"/>
    <d v="2025-02-12T00:00:00"/>
    <x v="0"/>
    <s v="East"/>
    <x v="1"/>
    <x v="2"/>
    <x v="1"/>
    <n v="1"/>
    <n v="1"/>
    <n v="1"/>
    <x v="0"/>
    <n v="0"/>
    <n v="0"/>
    <n v="0"/>
    <n v="0"/>
    <n v="60.1"/>
  </r>
  <r>
    <x v="367"/>
    <d v="2025-02-25T00:00:00"/>
    <x v="0"/>
    <s v="South"/>
    <x v="2"/>
    <x v="1"/>
    <x v="1"/>
    <n v="0"/>
    <n v="0"/>
    <n v="0"/>
    <x v="0"/>
    <n v="0"/>
    <n v="0"/>
    <n v="0"/>
    <n v="0"/>
    <n v="58"/>
  </r>
  <r>
    <x v="368"/>
    <d v="2025-04-14T00:00:00"/>
    <x v="0"/>
    <s v="South"/>
    <x v="1"/>
    <x v="3"/>
    <x v="1"/>
    <n v="1"/>
    <n v="1"/>
    <n v="1"/>
    <x v="0"/>
    <n v="0"/>
    <n v="0"/>
    <n v="0"/>
    <n v="0"/>
    <n v="69"/>
  </r>
  <r>
    <x v="369"/>
    <d v="2025-01-08T00:00:00"/>
    <x v="0"/>
    <s v="North"/>
    <x v="1"/>
    <x v="3"/>
    <x v="2"/>
    <n v="1"/>
    <n v="1"/>
    <n v="1"/>
    <x v="0"/>
    <n v="0"/>
    <n v="1"/>
    <n v="0"/>
    <n v="0"/>
    <n v="80.8"/>
  </r>
  <r>
    <x v="370"/>
    <d v="2025-03-14T00:00:00"/>
    <x v="0"/>
    <s v="East"/>
    <x v="1"/>
    <x v="0"/>
    <x v="1"/>
    <n v="0"/>
    <n v="0"/>
    <n v="0"/>
    <x v="0"/>
    <n v="0"/>
    <n v="0"/>
    <n v="0"/>
    <n v="0"/>
    <n v="32.799999999999997"/>
  </r>
  <r>
    <x v="371"/>
    <d v="2025-04-29T00:00:00"/>
    <x v="0"/>
    <s v="North"/>
    <x v="0"/>
    <x v="2"/>
    <x v="2"/>
    <n v="1"/>
    <n v="0"/>
    <n v="0"/>
    <x v="0"/>
    <n v="0"/>
    <n v="0"/>
    <n v="0"/>
    <n v="0"/>
    <n v="56"/>
  </r>
  <r>
    <x v="372"/>
    <d v="2025-05-01T00:00:00"/>
    <x v="0"/>
    <s v="East"/>
    <x v="0"/>
    <x v="4"/>
    <x v="1"/>
    <n v="1"/>
    <n v="0"/>
    <n v="0"/>
    <x v="0"/>
    <n v="0"/>
    <n v="0"/>
    <n v="0"/>
    <n v="0"/>
    <n v="76.400000000000006"/>
  </r>
  <r>
    <x v="373"/>
    <d v="2025-03-19T00:00:00"/>
    <x v="0"/>
    <s v="North"/>
    <x v="1"/>
    <x v="3"/>
    <x v="1"/>
    <n v="1"/>
    <n v="0"/>
    <n v="0"/>
    <x v="0"/>
    <n v="0"/>
    <n v="0"/>
    <n v="0"/>
    <n v="0"/>
    <n v="28.5"/>
  </r>
  <r>
    <x v="374"/>
    <d v="2025-05-01T00:00:00"/>
    <x v="0"/>
    <s v="South"/>
    <x v="0"/>
    <x v="4"/>
    <x v="0"/>
    <n v="1"/>
    <n v="1"/>
    <n v="1"/>
    <x v="0"/>
    <n v="0"/>
    <n v="0"/>
    <n v="0"/>
    <n v="0"/>
    <n v="48.3"/>
  </r>
  <r>
    <x v="375"/>
    <d v="2025-03-14T00:00:00"/>
    <x v="0"/>
    <s v="West"/>
    <x v="1"/>
    <x v="1"/>
    <x v="1"/>
    <n v="1"/>
    <n v="1"/>
    <n v="0"/>
    <x v="0"/>
    <n v="0"/>
    <n v="0"/>
    <n v="0"/>
    <n v="0"/>
    <n v="43.4"/>
  </r>
  <r>
    <x v="376"/>
    <d v="2025-03-23T00:00:00"/>
    <x v="0"/>
    <s v="North"/>
    <x v="1"/>
    <x v="2"/>
    <x v="1"/>
    <n v="0"/>
    <n v="0"/>
    <n v="0"/>
    <x v="0"/>
    <n v="0"/>
    <n v="0"/>
    <n v="0"/>
    <n v="0"/>
    <n v="43"/>
  </r>
  <r>
    <x v="377"/>
    <d v="2025-02-08T00:00:00"/>
    <x v="0"/>
    <s v="East"/>
    <x v="1"/>
    <x v="3"/>
    <x v="0"/>
    <n v="1"/>
    <n v="1"/>
    <n v="1"/>
    <x v="0"/>
    <n v="0"/>
    <n v="0"/>
    <n v="0"/>
    <n v="0"/>
    <n v="91.8"/>
  </r>
  <r>
    <x v="378"/>
    <d v="2025-04-15T00:00:00"/>
    <x v="0"/>
    <s v="West"/>
    <x v="2"/>
    <x v="2"/>
    <x v="0"/>
    <n v="1"/>
    <n v="0"/>
    <n v="0"/>
    <x v="0"/>
    <n v="0"/>
    <n v="1"/>
    <n v="0"/>
    <n v="0"/>
    <n v="69.3"/>
  </r>
  <r>
    <x v="379"/>
    <d v="2025-01-03T00:00:00"/>
    <x v="0"/>
    <s v="South"/>
    <x v="0"/>
    <x v="2"/>
    <x v="0"/>
    <n v="1"/>
    <n v="0"/>
    <n v="0"/>
    <x v="0"/>
    <n v="0"/>
    <n v="0"/>
    <n v="0"/>
    <n v="0"/>
    <n v="58.9"/>
  </r>
  <r>
    <x v="380"/>
    <d v="2025-03-23T00:00:00"/>
    <x v="0"/>
    <s v="West"/>
    <x v="1"/>
    <x v="4"/>
    <x v="1"/>
    <n v="1"/>
    <n v="1"/>
    <n v="1"/>
    <x v="0"/>
    <n v="0"/>
    <n v="0"/>
    <n v="0"/>
    <n v="0"/>
    <n v="76"/>
  </r>
  <r>
    <x v="381"/>
    <d v="2025-05-27T00:00:00"/>
    <x v="0"/>
    <s v="South"/>
    <x v="1"/>
    <x v="3"/>
    <x v="2"/>
    <n v="1"/>
    <n v="0"/>
    <n v="0"/>
    <x v="0"/>
    <n v="0"/>
    <n v="0"/>
    <n v="0"/>
    <n v="0"/>
    <n v="46"/>
  </r>
  <r>
    <x v="382"/>
    <d v="2025-04-30T00:00:00"/>
    <x v="0"/>
    <s v="East"/>
    <x v="1"/>
    <x v="1"/>
    <x v="1"/>
    <n v="1"/>
    <n v="0"/>
    <n v="0"/>
    <x v="0"/>
    <n v="0"/>
    <n v="0"/>
    <n v="0"/>
    <n v="0"/>
    <n v="54.1"/>
  </r>
  <r>
    <x v="383"/>
    <d v="2025-03-07T00:00:00"/>
    <x v="0"/>
    <s v="West"/>
    <x v="1"/>
    <x v="4"/>
    <x v="0"/>
    <n v="1"/>
    <n v="0"/>
    <n v="0"/>
    <x v="0"/>
    <n v="0"/>
    <n v="0"/>
    <n v="0"/>
    <n v="0"/>
    <n v="82.4"/>
  </r>
  <r>
    <x v="384"/>
    <d v="2025-05-10T00:00:00"/>
    <x v="0"/>
    <s v="South"/>
    <x v="1"/>
    <x v="1"/>
    <x v="0"/>
    <n v="1"/>
    <n v="1"/>
    <n v="1"/>
    <x v="0"/>
    <n v="0"/>
    <n v="0"/>
    <n v="0"/>
    <n v="0"/>
    <n v="71.900000000000006"/>
  </r>
  <r>
    <x v="385"/>
    <d v="2025-05-22T00:00:00"/>
    <x v="0"/>
    <s v="East"/>
    <x v="1"/>
    <x v="1"/>
    <x v="1"/>
    <n v="0"/>
    <n v="0"/>
    <n v="0"/>
    <x v="0"/>
    <n v="0"/>
    <n v="2"/>
    <n v="0"/>
    <n v="0"/>
    <n v="38"/>
  </r>
  <r>
    <x v="386"/>
    <d v="2025-02-09T00:00:00"/>
    <x v="0"/>
    <s v="East"/>
    <x v="1"/>
    <x v="2"/>
    <x v="1"/>
    <n v="1"/>
    <n v="1"/>
    <n v="0"/>
    <x v="0"/>
    <n v="0"/>
    <n v="0"/>
    <n v="0"/>
    <n v="0"/>
    <n v="43.7"/>
  </r>
  <r>
    <x v="387"/>
    <d v="2025-05-30T00:00:00"/>
    <x v="0"/>
    <s v="West"/>
    <x v="0"/>
    <x v="1"/>
    <x v="2"/>
    <n v="1"/>
    <n v="0"/>
    <n v="0"/>
    <x v="0"/>
    <n v="0"/>
    <n v="1"/>
    <n v="0"/>
    <n v="0"/>
    <n v="32.200000000000003"/>
  </r>
  <r>
    <x v="388"/>
    <d v="2025-05-01T00:00:00"/>
    <x v="0"/>
    <s v="South"/>
    <x v="1"/>
    <x v="1"/>
    <x v="2"/>
    <n v="1"/>
    <n v="0"/>
    <n v="0"/>
    <x v="0"/>
    <n v="0"/>
    <n v="0"/>
    <n v="0"/>
    <n v="0"/>
    <n v="61"/>
  </r>
  <r>
    <x v="389"/>
    <d v="2025-01-03T00:00:00"/>
    <x v="0"/>
    <s v="South"/>
    <x v="1"/>
    <x v="2"/>
    <x v="1"/>
    <n v="1"/>
    <n v="0"/>
    <n v="0"/>
    <x v="0"/>
    <n v="0"/>
    <n v="0"/>
    <n v="0"/>
    <n v="0"/>
    <n v="49"/>
  </r>
  <r>
    <x v="390"/>
    <d v="2025-02-13T00:00:00"/>
    <x v="0"/>
    <s v="East"/>
    <x v="1"/>
    <x v="1"/>
    <x v="1"/>
    <n v="0"/>
    <n v="0"/>
    <n v="0"/>
    <x v="0"/>
    <n v="0"/>
    <n v="0"/>
    <n v="0"/>
    <n v="0"/>
    <n v="48.1"/>
  </r>
  <r>
    <x v="391"/>
    <d v="2025-01-14T00:00:00"/>
    <x v="0"/>
    <s v="South"/>
    <x v="0"/>
    <x v="1"/>
    <x v="1"/>
    <n v="0"/>
    <n v="0"/>
    <n v="0"/>
    <x v="0"/>
    <n v="0"/>
    <n v="2"/>
    <n v="0"/>
    <n v="0"/>
    <n v="46.3"/>
  </r>
  <r>
    <x v="392"/>
    <d v="2025-02-24T00:00:00"/>
    <x v="0"/>
    <s v="North"/>
    <x v="1"/>
    <x v="3"/>
    <x v="1"/>
    <n v="0"/>
    <n v="0"/>
    <n v="0"/>
    <x v="0"/>
    <n v="0"/>
    <n v="0"/>
    <n v="0"/>
    <n v="0"/>
    <n v="64"/>
  </r>
  <r>
    <x v="393"/>
    <d v="2025-05-16T00:00:00"/>
    <x v="0"/>
    <s v="West"/>
    <x v="0"/>
    <x v="1"/>
    <x v="0"/>
    <n v="1"/>
    <n v="1"/>
    <n v="0"/>
    <x v="0"/>
    <n v="0"/>
    <n v="0"/>
    <n v="0"/>
    <n v="0"/>
    <n v="56.2"/>
  </r>
  <r>
    <x v="394"/>
    <d v="2025-04-29T00:00:00"/>
    <x v="0"/>
    <s v="North"/>
    <x v="1"/>
    <x v="2"/>
    <x v="1"/>
    <n v="1"/>
    <n v="1"/>
    <n v="1"/>
    <x v="0"/>
    <n v="0"/>
    <n v="0"/>
    <n v="0"/>
    <n v="0"/>
    <n v="77.5"/>
  </r>
  <r>
    <x v="395"/>
    <d v="2025-04-30T00:00:00"/>
    <x v="0"/>
    <s v="South"/>
    <x v="0"/>
    <x v="0"/>
    <x v="0"/>
    <n v="1"/>
    <n v="0"/>
    <n v="0"/>
    <x v="0"/>
    <n v="0"/>
    <n v="0"/>
    <n v="0"/>
    <n v="0"/>
    <n v="59.9"/>
  </r>
  <r>
    <x v="396"/>
    <d v="2025-01-09T00:00:00"/>
    <x v="0"/>
    <s v="South"/>
    <x v="0"/>
    <x v="1"/>
    <x v="1"/>
    <n v="1"/>
    <n v="1"/>
    <n v="0"/>
    <x v="0"/>
    <n v="0"/>
    <n v="0"/>
    <n v="0"/>
    <n v="0"/>
    <n v="63"/>
  </r>
  <r>
    <x v="397"/>
    <d v="2025-04-25T00:00:00"/>
    <x v="0"/>
    <s v="South"/>
    <x v="1"/>
    <x v="1"/>
    <x v="1"/>
    <n v="1"/>
    <n v="1"/>
    <n v="0"/>
    <x v="0"/>
    <n v="0"/>
    <n v="0"/>
    <n v="0"/>
    <n v="0"/>
    <n v="76.5"/>
  </r>
  <r>
    <x v="398"/>
    <d v="2025-03-12T00:00:00"/>
    <x v="0"/>
    <s v="North"/>
    <x v="0"/>
    <x v="2"/>
    <x v="1"/>
    <n v="1"/>
    <n v="0"/>
    <n v="0"/>
    <x v="0"/>
    <n v="0"/>
    <n v="0"/>
    <n v="0"/>
    <n v="0"/>
    <n v="39.700000000000003"/>
  </r>
  <r>
    <x v="399"/>
    <d v="2025-03-20T00:00:00"/>
    <x v="0"/>
    <s v="North"/>
    <x v="1"/>
    <x v="1"/>
    <x v="1"/>
    <n v="1"/>
    <n v="1"/>
    <n v="0"/>
    <x v="0"/>
    <n v="0"/>
    <n v="0"/>
    <n v="0"/>
    <n v="0"/>
    <n v="80.2"/>
  </r>
  <r>
    <x v="400"/>
    <d v="2025-02-18T00:00:00"/>
    <x v="0"/>
    <s v="West"/>
    <x v="1"/>
    <x v="2"/>
    <x v="1"/>
    <n v="1"/>
    <n v="0"/>
    <n v="0"/>
    <x v="0"/>
    <n v="0"/>
    <n v="0"/>
    <n v="0"/>
    <n v="0"/>
    <n v="72.2"/>
  </r>
  <r>
    <x v="401"/>
    <d v="2025-01-22T00:00:00"/>
    <x v="0"/>
    <s v="North"/>
    <x v="1"/>
    <x v="4"/>
    <x v="0"/>
    <n v="0"/>
    <n v="0"/>
    <n v="0"/>
    <x v="0"/>
    <n v="0"/>
    <n v="0"/>
    <n v="0"/>
    <n v="0"/>
    <n v="56"/>
  </r>
  <r>
    <x v="402"/>
    <d v="2025-02-08T00:00:00"/>
    <x v="0"/>
    <s v="West"/>
    <x v="1"/>
    <x v="0"/>
    <x v="0"/>
    <n v="1"/>
    <n v="1"/>
    <n v="1"/>
    <x v="0"/>
    <n v="0"/>
    <n v="0"/>
    <n v="0"/>
    <n v="0"/>
    <n v="69.099999999999994"/>
  </r>
  <r>
    <x v="403"/>
    <d v="2025-01-20T00:00:00"/>
    <x v="0"/>
    <s v="North"/>
    <x v="1"/>
    <x v="0"/>
    <x v="2"/>
    <n v="0"/>
    <n v="0"/>
    <n v="0"/>
    <x v="0"/>
    <n v="0"/>
    <n v="1"/>
    <n v="0"/>
    <n v="0"/>
    <n v="70.599999999999994"/>
  </r>
  <r>
    <x v="404"/>
    <d v="2025-04-22T00:00:00"/>
    <x v="0"/>
    <s v="West"/>
    <x v="0"/>
    <x v="3"/>
    <x v="1"/>
    <n v="1"/>
    <n v="0"/>
    <n v="0"/>
    <x v="0"/>
    <n v="0"/>
    <n v="0"/>
    <n v="0"/>
    <n v="0"/>
    <n v="57.9"/>
  </r>
  <r>
    <x v="405"/>
    <d v="2025-01-22T00:00:00"/>
    <x v="0"/>
    <s v="East"/>
    <x v="1"/>
    <x v="1"/>
    <x v="0"/>
    <n v="1"/>
    <n v="1"/>
    <n v="0"/>
    <x v="0"/>
    <n v="0"/>
    <n v="0"/>
    <n v="0"/>
    <n v="0"/>
    <n v="41.4"/>
  </r>
  <r>
    <x v="406"/>
    <d v="2025-05-11T00:00:00"/>
    <x v="0"/>
    <s v="West"/>
    <x v="1"/>
    <x v="1"/>
    <x v="0"/>
    <n v="1"/>
    <n v="0"/>
    <n v="0"/>
    <x v="0"/>
    <n v="0"/>
    <n v="0"/>
    <n v="0"/>
    <n v="0"/>
    <n v="60.9"/>
  </r>
  <r>
    <x v="407"/>
    <d v="2025-02-06T00:00:00"/>
    <x v="0"/>
    <s v="South"/>
    <x v="1"/>
    <x v="1"/>
    <x v="0"/>
    <n v="0"/>
    <n v="0"/>
    <n v="0"/>
    <x v="0"/>
    <n v="0"/>
    <n v="1"/>
    <n v="0"/>
    <n v="0"/>
    <n v="63.8"/>
  </r>
  <r>
    <x v="408"/>
    <d v="2025-02-21T00:00:00"/>
    <x v="0"/>
    <s v="North"/>
    <x v="0"/>
    <x v="1"/>
    <x v="2"/>
    <n v="1"/>
    <n v="0"/>
    <n v="0"/>
    <x v="0"/>
    <n v="0"/>
    <n v="0"/>
    <n v="0"/>
    <n v="0"/>
    <n v="79.2"/>
  </r>
  <r>
    <x v="409"/>
    <d v="2025-01-13T00:00:00"/>
    <x v="0"/>
    <s v="West"/>
    <x v="1"/>
    <x v="0"/>
    <x v="2"/>
    <n v="1"/>
    <n v="1"/>
    <n v="1"/>
    <x v="0"/>
    <n v="0"/>
    <n v="0"/>
    <n v="0"/>
    <n v="0"/>
    <n v="53.3"/>
  </r>
  <r>
    <x v="410"/>
    <d v="2025-03-07T00:00:00"/>
    <x v="0"/>
    <s v="North"/>
    <x v="1"/>
    <x v="3"/>
    <x v="2"/>
    <n v="1"/>
    <n v="1"/>
    <n v="1"/>
    <x v="1"/>
    <n v="2144.8200000000002"/>
    <n v="0"/>
    <n v="0"/>
    <n v="6"/>
    <n v="52.3"/>
  </r>
  <r>
    <x v="411"/>
    <d v="2025-02-26T00:00:00"/>
    <x v="0"/>
    <s v="West"/>
    <x v="0"/>
    <x v="1"/>
    <x v="0"/>
    <n v="1"/>
    <n v="1"/>
    <n v="0"/>
    <x v="0"/>
    <n v="0"/>
    <n v="0"/>
    <n v="0"/>
    <n v="0"/>
    <n v="62.4"/>
  </r>
  <r>
    <x v="412"/>
    <d v="2025-05-05T00:00:00"/>
    <x v="0"/>
    <s v="North"/>
    <x v="1"/>
    <x v="3"/>
    <x v="2"/>
    <n v="1"/>
    <n v="0"/>
    <n v="0"/>
    <x v="0"/>
    <n v="0"/>
    <n v="0"/>
    <n v="0"/>
    <n v="0"/>
    <n v="45.5"/>
  </r>
  <r>
    <x v="413"/>
    <d v="2025-01-08T00:00:00"/>
    <x v="0"/>
    <s v="East"/>
    <x v="0"/>
    <x v="1"/>
    <x v="0"/>
    <n v="0"/>
    <n v="0"/>
    <n v="0"/>
    <x v="0"/>
    <n v="0"/>
    <n v="1"/>
    <n v="0"/>
    <n v="0"/>
    <n v="72.599999999999994"/>
  </r>
  <r>
    <x v="414"/>
    <d v="2025-03-19T00:00:00"/>
    <x v="0"/>
    <s v="South"/>
    <x v="1"/>
    <x v="0"/>
    <x v="2"/>
    <n v="1"/>
    <n v="1"/>
    <n v="1"/>
    <x v="0"/>
    <n v="0"/>
    <n v="0"/>
    <n v="0"/>
    <n v="0"/>
    <n v="50.1"/>
  </r>
  <r>
    <x v="415"/>
    <d v="2025-01-30T00:00:00"/>
    <x v="0"/>
    <s v="East"/>
    <x v="0"/>
    <x v="2"/>
    <x v="1"/>
    <n v="1"/>
    <n v="1"/>
    <n v="1"/>
    <x v="0"/>
    <n v="0"/>
    <n v="2"/>
    <n v="0"/>
    <n v="0"/>
    <n v="58.1"/>
  </r>
  <r>
    <x v="416"/>
    <d v="2025-04-28T00:00:00"/>
    <x v="0"/>
    <s v="East"/>
    <x v="1"/>
    <x v="1"/>
    <x v="0"/>
    <n v="1"/>
    <n v="0"/>
    <n v="0"/>
    <x v="0"/>
    <n v="0"/>
    <n v="0"/>
    <n v="0"/>
    <n v="0"/>
    <n v="42.9"/>
  </r>
  <r>
    <x v="417"/>
    <d v="2025-03-07T00:00:00"/>
    <x v="0"/>
    <s v="North"/>
    <x v="1"/>
    <x v="3"/>
    <x v="0"/>
    <n v="0"/>
    <n v="0"/>
    <n v="0"/>
    <x v="0"/>
    <n v="0"/>
    <n v="0"/>
    <n v="0"/>
    <n v="0"/>
    <n v="69.7"/>
  </r>
  <r>
    <x v="418"/>
    <d v="2025-04-07T00:00:00"/>
    <x v="0"/>
    <s v="North"/>
    <x v="0"/>
    <x v="1"/>
    <x v="1"/>
    <n v="0"/>
    <n v="0"/>
    <n v="0"/>
    <x v="0"/>
    <n v="0"/>
    <n v="0"/>
    <n v="0"/>
    <n v="0"/>
    <n v="63.3"/>
  </r>
  <r>
    <x v="419"/>
    <d v="2025-05-08T00:00:00"/>
    <x v="0"/>
    <s v="North"/>
    <x v="0"/>
    <x v="1"/>
    <x v="2"/>
    <n v="1"/>
    <n v="0"/>
    <n v="0"/>
    <x v="0"/>
    <n v="0"/>
    <n v="0"/>
    <n v="0"/>
    <n v="0"/>
    <n v="71.2"/>
  </r>
  <r>
    <x v="420"/>
    <d v="2025-04-15T00:00:00"/>
    <x v="0"/>
    <s v="South"/>
    <x v="1"/>
    <x v="0"/>
    <x v="1"/>
    <n v="1"/>
    <n v="0"/>
    <n v="0"/>
    <x v="0"/>
    <n v="0"/>
    <n v="0"/>
    <n v="0"/>
    <n v="0"/>
    <n v="39.1"/>
  </r>
  <r>
    <x v="421"/>
    <d v="2025-04-20T00:00:00"/>
    <x v="0"/>
    <s v="East"/>
    <x v="0"/>
    <x v="4"/>
    <x v="1"/>
    <n v="1"/>
    <n v="0"/>
    <n v="0"/>
    <x v="0"/>
    <n v="0"/>
    <n v="0"/>
    <n v="0"/>
    <n v="0"/>
    <n v="42.6"/>
  </r>
  <r>
    <x v="422"/>
    <d v="2025-05-30T00:00:00"/>
    <x v="0"/>
    <s v="South"/>
    <x v="2"/>
    <x v="1"/>
    <x v="1"/>
    <n v="0"/>
    <n v="0"/>
    <n v="0"/>
    <x v="0"/>
    <n v="0"/>
    <n v="0"/>
    <n v="0"/>
    <n v="0"/>
    <n v="74.400000000000006"/>
  </r>
  <r>
    <x v="423"/>
    <d v="2025-02-13T00:00:00"/>
    <x v="0"/>
    <s v="West"/>
    <x v="1"/>
    <x v="3"/>
    <x v="1"/>
    <n v="0"/>
    <n v="0"/>
    <n v="0"/>
    <x v="0"/>
    <n v="0"/>
    <n v="0"/>
    <n v="0"/>
    <n v="0"/>
    <n v="55.6"/>
  </r>
  <r>
    <x v="424"/>
    <d v="2025-04-28T00:00:00"/>
    <x v="0"/>
    <s v="West"/>
    <x v="1"/>
    <x v="4"/>
    <x v="1"/>
    <n v="1"/>
    <n v="0"/>
    <n v="0"/>
    <x v="0"/>
    <n v="0"/>
    <n v="0"/>
    <n v="0"/>
    <n v="0"/>
    <n v="35.799999999999997"/>
  </r>
  <r>
    <x v="425"/>
    <d v="2025-02-12T00:00:00"/>
    <x v="0"/>
    <s v="North"/>
    <x v="1"/>
    <x v="2"/>
    <x v="0"/>
    <n v="1"/>
    <n v="0"/>
    <n v="0"/>
    <x v="0"/>
    <n v="0"/>
    <n v="1"/>
    <n v="0"/>
    <n v="0"/>
    <n v="28.2"/>
  </r>
  <r>
    <x v="426"/>
    <d v="2025-02-12T00:00:00"/>
    <x v="0"/>
    <s v="East"/>
    <x v="1"/>
    <x v="1"/>
    <x v="1"/>
    <n v="0"/>
    <n v="0"/>
    <n v="0"/>
    <x v="0"/>
    <n v="0"/>
    <n v="2"/>
    <n v="0"/>
    <n v="0"/>
    <n v="44.4"/>
  </r>
  <r>
    <x v="427"/>
    <d v="2025-03-27T00:00:00"/>
    <x v="0"/>
    <s v="North"/>
    <x v="1"/>
    <x v="0"/>
    <x v="2"/>
    <n v="1"/>
    <n v="0"/>
    <n v="0"/>
    <x v="0"/>
    <n v="0"/>
    <n v="0"/>
    <n v="0"/>
    <n v="0"/>
    <n v="49.9"/>
  </r>
  <r>
    <x v="428"/>
    <d v="2025-04-12T00:00:00"/>
    <x v="0"/>
    <s v="South"/>
    <x v="0"/>
    <x v="1"/>
    <x v="1"/>
    <n v="0"/>
    <n v="0"/>
    <n v="0"/>
    <x v="0"/>
    <n v="0"/>
    <n v="0"/>
    <n v="0"/>
    <n v="0"/>
    <n v="40.4"/>
  </r>
  <r>
    <x v="429"/>
    <d v="2025-01-30T00:00:00"/>
    <x v="0"/>
    <s v="West"/>
    <x v="1"/>
    <x v="4"/>
    <x v="1"/>
    <n v="0"/>
    <n v="0"/>
    <n v="0"/>
    <x v="0"/>
    <n v="0"/>
    <n v="0"/>
    <n v="0"/>
    <n v="0"/>
    <n v="60.4"/>
  </r>
  <r>
    <x v="430"/>
    <d v="2025-05-28T00:00:00"/>
    <x v="0"/>
    <s v="West"/>
    <x v="1"/>
    <x v="4"/>
    <x v="2"/>
    <n v="0"/>
    <n v="0"/>
    <n v="0"/>
    <x v="0"/>
    <n v="0"/>
    <n v="1"/>
    <n v="0"/>
    <n v="0"/>
    <n v="52.4"/>
  </r>
  <r>
    <x v="431"/>
    <d v="2025-05-01T00:00:00"/>
    <x v="0"/>
    <s v="South"/>
    <x v="1"/>
    <x v="1"/>
    <x v="0"/>
    <n v="1"/>
    <n v="1"/>
    <n v="0"/>
    <x v="0"/>
    <n v="0"/>
    <n v="0"/>
    <n v="0"/>
    <n v="0"/>
    <n v="48.8"/>
  </r>
  <r>
    <x v="432"/>
    <d v="2025-02-03T00:00:00"/>
    <x v="0"/>
    <s v="North"/>
    <x v="2"/>
    <x v="0"/>
    <x v="0"/>
    <n v="1"/>
    <n v="0"/>
    <n v="0"/>
    <x v="0"/>
    <n v="0"/>
    <n v="0"/>
    <n v="0"/>
    <n v="0"/>
    <n v="60.9"/>
  </r>
  <r>
    <x v="433"/>
    <d v="2025-01-10T00:00:00"/>
    <x v="0"/>
    <s v="South"/>
    <x v="0"/>
    <x v="4"/>
    <x v="0"/>
    <n v="0"/>
    <n v="0"/>
    <n v="0"/>
    <x v="0"/>
    <n v="0"/>
    <n v="0"/>
    <n v="0"/>
    <n v="0"/>
    <n v="68.2"/>
  </r>
  <r>
    <x v="434"/>
    <d v="2025-05-02T00:00:00"/>
    <x v="0"/>
    <s v="North"/>
    <x v="0"/>
    <x v="1"/>
    <x v="0"/>
    <n v="1"/>
    <n v="0"/>
    <n v="0"/>
    <x v="0"/>
    <n v="0"/>
    <n v="0"/>
    <n v="0"/>
    <n v="0"/>
    <n v="65.599999999999994"/>
  </r>
  <r>
    <x v="435"/>
    <d v="2025-05-26T00:00:00"/>
    <x v="0"/>
    <s v="North"/>
    <x v="0"/>
    <x v="1"/>
    <x v="0"/>
    <n v="1"/>
    <n v="0"/>
    <n v="0"/>
    <x v="0"/>
    <n v="0"/>
    <n v="0"/>
    <n v="0"/>
    <n v="0"/>
    <n v="65.400000000000006"/>
  </r>
  <r>
    <x v="436"/>
    <d v="2025-01-12T00:00:00"/>
    <x v="0"/>
    <s v="West"/>
    <x v="1"/>
    <x v="1"/>
    <x v="0"/>
    <n v="1"/>
    <n v="0"/>
    <n v="0"/>
    <x v="0"/>
    <n v="0"/>
    <n v="0"/>
    <n v="0"/>
    <n v="0"/>
    <n v="78.900000000000006"/>
  </r>
  <r>
    <x v="437"/>
    <d v="2025-05-27T00:00:00"/>
    <x v="0"/>
    <s v="East"/>
    <x v="1"/>
    <x v="2"/>
    <x v="0"/>
    <n v="1"/>
    <n v="1"/>
    <n v="1"/>
    <x v="0"/>
    <n v="0"/>
    <n v="0"/>
    <n v="0"/>
    <n v="0"/>
    <n v="78.3"/>
  </r>
  <r>
    <x v="438"/>
    <d v="2025-05-22T00:00:00"/>
    <x v="0"/>
    <s v="West"/>
    <x v="0"/>
    <x v="0"/>
    <x v="0"/>
    <n v="0"/>
    <n v="0"/>
    <n v="0"/>
    <x v="0"/>
    <n v="0"/>
    <n v="0"/>
    <n v="0"/>
    <n v="0"/>
    <n v="49.2"/>
  </r>
  <r>
    <x v="439"/>
    <d v="2025-04-01T00:00:00"/>
    <x v="0"/>
    <s v="East"/>
    <x v="1"/>
    <x v="4"/>
    <x v="2"/>
    <n v="1"/>
    <n v="1"/>
    <n v="1"/>
    <x v="1"/>
    <n v="1518.83"/>
    <n v="0"/>
    <n v="0"/>
    <n v="9"/>
    <n v="32.200000000000003"/>
  </r>
  <r>
    <x v="440"/>
    <d v="2025-01-22T00:00:00"/>
    <x v="0"/>
    <s v="North"/>
    <x v="1"/>
    <x v="2"/>
    <x v="0"/>
    <n v="1"/>
    <n v="1"/>
    <n v="1"/>
    <x v="0"/>
    <n v="0"/>
    <n v="0"/>
    <n v="0"/>
    <n v="0"/>
    <n v="46.3"/>
  </r>
  <r>
    <x v="441"/>
    <d v="2025-05-24T00:00:00"/>
    <x v="0"/>
    <s v="East"/>
    <x v="1"/>
    <x v="2"/>
    <x v="0"/>
    <n v="1"/>
    <n v="0"/>
    <n v="0"/>
    <x v="0"/>
    <n v="0"/>
    <n v="0"/>
    <n v="0"/>
    <n v="0"/>
    <n v="55.7"/>
  </r>
  <r>
    <x v="442"/>
    <d v="2025-04-25T00:00:00"/>
    <x v="0"/>
    <s v="South"/>
    <x v="1"/>
    <x v="4"/>
    <x v="1"/>
    <n v="1"/>
    <n v="0"/>
    <n v="0"/>
    <x v="0"/>
    <n v="0"/>
    <n v="0"/>
    <n v="0"/>
    <n v="0"/>
    <n v="44.5"/>
  </r>
  <r>
    <x v="443"/>
    <d v="2025-04-12T00:00:00"/>
    <x v="0"/>
    <s v="West"/>
    <x v="0"/>
    <x v="3"/>
    <x v="1"/>
    <n v="1"/>
    <n v="1"/>
    <n v="1"/>
    <x v="0"/>
    <n v="0"/>
    <n v="1"/>
    <n v="0"/>
    <n v="0"/>
    <n v="47.9"/>
  </r>
  <r>
    <x v="444"/>
    <d v="2025-04-23T00:00:00"/>
    <x v="0"/>
    <s v="South"/>
    <x v="1"/>
    <x v="1"/>
    <x v="2"/>
    <n v="1"/>
    <n v="0"/>
    <n v="0"/>
    <x v="0"/>
    <n v="0"/>
    <n v="0"/>
    <n v="0"/>
    <n v="0"/>
    <n v="43.9"/>
  </r>
  <r>
    <x v="445"/>
    <d v="2025-03-30T00:00:00"/>
    <x v="0"/>
    <s v="North"/>
    <x v="0"/>
    <x v="3"/>
    <x v="1"/>
    <n v="1"/>
    <n v="1"/>
    <n v="1"/>
    <x v="0"/>
    <n v="0"/>
    <n v="1"/>
    <n v="0"/>
    <n v="0"/>
    <n v="67.7"/>
  </r>
  <r>
    <x v="446"/>
    <d v="2025-01-18T00:00:00"/>
    <x v="0"/>
    <s v="East"/>
    <x v="1"/>
    <x v="3"/>
    <x v="0"/>
    <n v="0"/>
    <n v="0"/>
    <n v="0"/>
    <x v="0"/>
    <n v="0"/>
    <n v="0"/>
    <n v="0"/>
    <n v="0"/>
    <n v="43.7"/>
  </r>
  <r>
    <x v="447"/>
    <d v="2025-04-09T00:00:00"/>
    <x v="0"/>
    <s v="East"/>
    <x v="1"/>
    <x v="1"/>
    <x v="1"/>
    <n v="1"/>
    <n v="0"/>
    <n v="0"/>
    <x v="0"/>
    <n v="0"/>
    <n v="0"/>
    <n v="0"/>
    <n v="0"/>
    <n v="68.8"/>
  </r>
  <r>
    <x v="448"/>
    <d v="2025-01-11T00:00:00"/>
    <x v="0"/>
    <s v="West"/>
    <x v="1"/>
    <x v="1"/>
    <x v="1"/>
    <n v="1"/>
    <n v="1"/>
    <n v="1"/>
    <x v="0"/>
    <n v="0"/>
    <n v="0"/>
    <n v="0"/>
    <n v="0"/>
    <n v="59.2"/>
  </r>
  <r>
    <x v="449"/>
    <d v="2025-03-05T00:00:00"/>
    <x v="0"/>
    <s v="East"/>
    <x v="1"/>
    <x v="2"/>
    <x v="1"/>
    <n v="1"/>
    <n v="0"/>
    <n v="0"/>
    <x v="0"/>
    <n v="0"/>
    <n v="0"/>
    <n v="0"/>
    <n v="0"/>
    <n v="48.6"/>
  </r>
  <r>
    <x v="450"/>
    <d v="2025-02-17T00:00:00"/>
    <x v="0"/>
    <s v="North"/>
    <x v="2"/>
    <x v="4"/>
    <x v="1"/>
    <n v="1"/>
    <n v="1"/>
    <n v="1"/>
    <x v="0"/>
    <n v="0"/>
    <n v="0"/>
    <n v="0"/>
    <n v="0"/>
    <n v="56.9"/>
  </r>
  <r>
    <x v="451"/>
    <d v="2025-05-07T00:00:00"/>
    <x v="0"/>
    <s v="North"/>
    <x v="0"/>
    <x v="2"/>
    <x v="1"/>
    <n v="0"/>
    <n v="0"/>
    <n v="0"/>
    <x v="0"/>
    <n v="0"/>
    <n v="0"/>
    <n v="0"/>
    <n v="0"/>
    <n v="55.8"/>
  </r>
  <r>
    <x v="452"/>
    <d v="2025-04-10T00:00:00"/>
    <x v="0"/>
    <s v="East"/>
    <x v="1"/>
    <x v="2"/>
    <x v="2"/>
    <n v="0"/>
    <n v="0"/>
    <n v="0"/>
    <x v="0"/>
    <n v="0"/>
    <n v="0"/>
    <n v="0"/>
    <n v="0"/>
    <n v="63.3"/>
  </r>
  <r>
    <x v="453"/>
    <d v="2025-04-21T00:00:00"/>
    <x v="0"/>
    <s v="North"/>
    <x v="1"/>
    <x v="4"/>
    <x v="1"/>
    <n v="1"/>
    <n v="0"/>
    <n v="0"/>
    <x v="0"/>
    <n v="0"/>
    <n v="0"/>
    <n v="0"/>
    <n v="0"/>
    <n v="52.2"/>
  </r>
  <r>
    <x v="454"/>
    <d v="2025-02-25T00:00:00"/>
    <x v="0"/>
    <s v="South"/>
    <x v="2"/>
    <x v="5"/>
    <x v="1"/>
    <n v="0"/>
    <n v="0"/>
    <n v="0"/>
    <x v="0"/>
    <n v="0"/>
    <n v="0"/>
    <n v="0"/>
    <n v="0"/>
    <n v="51.5"/>
  </r>
  <r>
    <x v="455"/>
    <d v="2025-05-14T00:00:00"/>
    <x v="0"/>
    <s v="East"/>
    <x v="0"/>
    <x v="1"/>
    <x v="1"/>
    <n v="0"/>
    <n v="0"/>
    <n v="0"/>
    <x v="0"/>
    <n v="0"/>
    <n v="0"/>
    <n v="0"/>
    <n v="0"/>
    <n v="50.3"/>
  </r>
  <r>
    <x v="456"/>
    <d v="2025-03-10T00:00:00"/>
    <x v="0"/>
    <s v="North"/>
    <x v="1"/>
    <x v="0"/>
    <x v="0"/>
    <n v="1"/>
    <n v="0"/>
    <n v="0"/>
    <x v="0"/>
    <n v="0"/>
    <n v="1"/>
    <n v="0"/>
    <n v="0"/>
    <n v="35.4"/>
  </r>
  <r>
    <x v="457"/>
    <d v="2025-01-31T00:00:00"/>
    <x v="0"/>
    <s v="West"/>
    <x v="0"/>
    <x v="1"/>
    <x v="2"/>
    <n v="1"/>
    <n v="0"/>
    <n v="0"/>
    <x v="0"/>
    <n v="0"/>
    <n v="1"/>
    <n v="0"/>
    <n v="0"/>
    <n v="54.1"/>
  </r>
  <r>
    <x v="458"/>
    <d v="2025-01-17T00:00:00"/>
    <x v="0"/>
    <s v="South"/>
    <x v="1"/>
    <x v="1"/>
    <x v="2"/>
    <n v="1"/>
    <n v="0"/>
    <n v="0"/>
    <x v="0"/>
    <n v="0"/>
    <n v="0"/>
    <n v="0"/>
    <n v="0"/>
    <n v="56.2"/>
  </r>
  <r>
    <x v="459"/>
    <d v="2025-03-12T00:00:00"/>
    <x v="0"/>
    <s v="South"/>
    <x v="1"/>
    <x v="2"/>
    <x v="1"/>
    <n v="0"/>
    <n v="0"/>
    <n v="0"/>
    <x v="0"/>
    <n v="0"/>
    <n v="3"/>
    <n v="0"/>
    <n v="0"/>
    <n v="43.7"/>
  </r>
  <r>
    <x v="460"/>
    <d v="2025-02-28T00:00:00"/>
    <x v="0"/>
    <s v="West"/>
    <x v="0"/>
    <x v="1"/>
    <x v="2"/>
    <n v="1"/>
    <n v="1"/>
    <n v="0"/>
    <x v="0"/>
    <n v="0"/>
    <n v="0"/>
    <n v="0"/>
    <n v="0"/>
    <n v="51.3"/>
  </r>
  <r>
    <x v="461"/>
    <d v="2025-05-19T00:00:00"/>
    <x v="0"/>
    <s v="North"/>
    <x v="3"/>
    <x v="1"/>
    <x v="0"/>
    <n v="1"/>
    <n v="0"/>
    <n v="0"/>
    <x v="0"/>
    <n v="0"/>
    <n v="0"/>
    <n v="0"/>
    <n v="0"/>
    <n v="50.5"/>
  </r>
  <r>
    <x v="462"/>
    <d v="2025-02-23T00:00:00"/>
    <x v="0"/>
    <s v="North"/>
    <x v="1"/>
    <x v="3"/>
    <x v="0"/>
    <n v="1"/>
    <n v="0"/>
    <n v="0"/>
    <x v="0"/>
    <n v="0"/>
    <n v="0"/>
    <n v="0"/>
    <n v="0"/>
    <n v="57.3"/>
  </r>
  <r>
    <x v="463"/>
    <d v="2025-02-20T00:00:00"/>
    <x v="0"/>
    <s v="West"/>
    <x v="0"/>
    <x v="1"/>
    <x v="1"/>
    <n v="1"/>
    <n v="1"/>
    <n v="1"/>
    <x v="0"/>
    <n v="0"/>
    <n v="0"/>
    <n v="0"/>
    <n v="0"/>
    <n v="58.4"/>
  </r>
  <r>
    <x v="464"/>
    <d v="2025-04-12T00:00:00"/>
    <x v="0"/>
    <s v="North"/>
    <x v="1"/>
    <x v="5"/>
    <x v="1"/>
    <n v="0"/>
    <n v="0"/>
    <n v="0"/>
    <x v="0"/>
    <n v="0"/>
    <n v="0"/>
    <n v="0"/>
    <n v="0"/>
    <n v="56.5"/>
  </r>
  <r>
    <x v="465"/>
    <d v="2025-01-08T00:00:00"/>
    <x v="0"/>
    <s v="West"/>
    <x v="1"/>
    <x v="0"/>
    <x v="1"/>
    <n v="0"/>
    <n v="0"/>
    <n v="0"/>
    <x v="0"/>
    <n v="0"/>
    <n v="0"/>
    <n v="0"/>
    <n v="0"/>
    <n v="69.599999999999994"/>
  </r>
  <r>
    <x v="466"/>
    <d v="2025-02-13T00:00:00"/>
    <x v="0"/>
    <s v="West"/>
    <x v="1"/>
    <x v="1"/>
    <x v="0"/>
    <n v="0"/>
    <n v="0"/>
    <n v="0"/>
    <x v="0"/>
    <n v="0"/>
    <n v="0"/>
    <n v="0"/>
    <n v="0"/>
    <n v="6.2"/>
  </r>
  <r>
    <x v="467"/>
    <d v="2025-05-21T00:00:00"/>
    <x v="0"/>
    <s v="East"/>
    <x v="0"/>
    <x v="0"/>
    <x v="1"/>
    <n v="1"/>
    <n v="1"/>
    <n v="1"/>
    <x v="0"/>
    <n v="0"/>
    <n v="0"/>
    <n v="0"/>
    <n v="0"/>
    <n v="54.3"/>
  </r>
  <r>
    <x v="468"/>
    <d v="2025-05-30T00:00:00"/>
    <x v="0"/>
    <s v="North"/>
    <x v="1"/>
    <x v="1"/>
    <x v="0"/>
    <n v="0"/>
    <n v="0"/>
    <n v="0"/>
    <x v="0"/>
    <n v="0"/>
    <n v="0"/>
    <n v="0"/>
    <n v="0"/>
    <n v="59.8"/>
  </r>
  <r>
    <x v="469"/>
    <d v="2025-05-20T00:00:00"/>
    <x v="0"/>
    <s v="West"/>
    <x v="1"/>
    <x v="2"/>
    <x v="1"/>
    <n v="0"/>
    <n v="0"/>
    <n v="0"/>
    <x v="0"/>
    <n v="0"/>
    <n v="0"/>
    <n v="0"/>
    <n v="0"/>
    <n v="58.9"/>
  </r>
  <r>
    <x v="470"/>
    <d v="2025-01-09T00:00:00"/>
    <x v="0"/>
    <s v="East"/>
    <x v="0"/>
    <x v="1"/>
    <x v="1"/>
    <n v="0"/>
    <n v="0"/>
    <n v="0"/>
    <x v="0"/>
    <n v="0"/>
    <n v="1"/>
    <n v="0"/>
    <n v="0"/>
    <n v="52.9"/>
  </r>
  <r>
    <x v="471"/>
    <d v="2025-03-07T00:00:00"/>
    <x v="0"/>
    <s v="West"/>
    <x v="1"/>
    <x v="1"/>
    <x v="1"/>
    <n v="0"/>
    <n v="0"/>
    <n v="0"/>
    <x v="0"/>
    <n v="0"/>
    <n v="0"/>
    <n v="0"/>
    <n v="0"/>
    <n v="67.8"/>
  </r>
  <r>
    <x v="472"/>
    <d v="2025-04-23T00:00:00"/>
    <x v="0"/>
    <s v="South"/>
    <x v="1"/>
    <x v="4"/>
    <x v="1"/>
    <n v="0"/>
    <n v="0"/>
    <n v="0"/>
    <x v="0"/>
    <n v="0"/>
    <n v="0"/>
    <n v="0"/>
    <n v="0"/>
    <n v="48.7"/>
  </r>
  <r>
    <x v="473"/>
    <d v="2025-03-08T00:00:00"/>
    <x v="0"/>
    <s v="East"/>
    <x v="1"/>
    <x v="1"/>
    <x v="0"/>
    <n v="0"/>
    <n v="0"/>
    <n v="0"/>
    <x v="0"/>
    <n v="0"/>
    <n v="0"/>
    <n v="0"/>
    <n v="0"/>
    <n v="59"/>
  </r>
  <r>
    <x v="474"/>
    <d v="2025-02-14T00:00:00"/>
    <x v="0"/>
    <s v="South"/>
    <x v="1"/>
    <x v="3"/>
    <x v="1"/>
    <n v="0"/>
    <n v="0"/>
    <n v="0"/>
    <x v="0"/>
    <n v="0"/>
    <n v="0"/>
    <n v="0"/>
    <n v="0"/>
    <n v="63.2"/>
  </r>
  <r>
    <x v="475"/>
    <d v="2025-05-17T00:00:00"/>
    <x v="0"/>
    <s v="West"/>
    <x v="1"/>
    <x v="3"/>
    <x v="0"/>
    <n v="1"/>
    <n v="0"/>
    <n v="0"/>
    <x v="0"/>
    <n v="0"/>
    <n v="0"/>
    <n v="0"/>
    <n v="0"/>
    <n v="68.7"/>
  </r>
  <r>
    <x v="476"/>
    <d v="2025-04-25T00:00:00"/>
    <x v="0"/>
    <s v="South"/>
    <x v="1"/>
    <x v="3"/>
    <x v="1"/>
    <n v="0"/>
    <n v="0"/>
    <n v="0"/>
    <x v="0"/>
    <n v="0"/>
    <n v="0"/>
    <n v="0"/>
    <n v="0"/>
    <n v="52.1"/>
  </r>
  <r>
    <x v="477"/>
    <d v="2025-03-04T00:00:00"/>
    <x v="0"/>
    <s v="South"/>
    <x v="0"/>
    <x v="4"/>
    <x v="0"/>
    <n v="0"/>
    <n v="0"/>
    <n v="0"/>
    <x v="0"/>
    <n v="0"/>
    <n v="0"/>
    <n v="0"/>
    <n v="0"/>
    <n v="56.5"/>
  </r>
  <r>
    <x v="478"/>
    <d v="2025-03-18T00:00:00"/>
    <x v="0"/>
    <s v="South"/>
    <x v="1"/>
    <x v="1"/>
    <x v="1"/>
    <n v="1"/>
    <n v="0"/>
    <n v="0"/>
    <x v="0"/>
    <n v="0"/>
    <n v="0"/>
    <n v="0"/>
    <n v="0"/>
    <n v="64.400000000000006"/>
  </r>
  <r>
    <x v="479"/>
    <d v="2025-01-30T00:00:00"/>
    <x v="0"/>
    <s v="West"/>
    <x v="1"/>
    <x v="2"/>
    <x v="2"/>
    <n v="1"/>
    <n v="0"/>
    <n v="0"/>
    <x v="0"/>
    <n v="0"/>
    <n v="0"/>
    <n v="0"/>
    <n v="0"/>
    <n v="65.900000000000006"/>
  </r>
  <r>
    <x v="480"/>
    <d v="2025-05-20T00:00:00"/>
    <x v="0"/>
    <s v="West"/>
    <x v="2"/>
    <x v="3"/>
    <x v="1"/>
    <n v="1"/>
    <n v="1"/>
    <n v="1"/>
    <x v="0"/>
    <n v="0"/>
    <n v="0"/>
    <n v="0"/>
    <n v="0"/>
    <n v="100"/>
  </r>
  <r>
    <x v="481"/>
    <d v="2025-02-13T00:00:00"/>
    <x v="0"/>
    <s v="North"/>
    <x v="3"/>
    <x v="1"/>
    <x v="0"/>
    <n v="1"/>
    <n v="1"/>
    <n v="1"/>
    <x v="0"/>
    <n v="0"/>
    <n v="0"/>
    <n v="0"/>
    <n v="0"/>
    <n v="50.4"/>
  </r>
  <r>
    <x v="482"/>
    <d v="2025-04-12T00:00:00"/>
    <x v="0"/>
    <s v="West"/>
    <x v="0"/>
    <x v="1"/>
    <x v="0"/>
    <n v="0"/>
    <n v="0"/>
    <n v="0"/>
    <x v="0"/>
    <n v="0"/>
    <n v="0"/>
    <n v="0"/>
    <n v="0"/>
    <n v="41.5"/>
  </r>
  <r>
    <x v="483"/>
    <d v="2025-04-07T00:00:00"/>
    <x v="0"/>
    <s v="North"/>
    <x v="1"/>
    <x v="0"/>
    <x v="1"/>
    <n v="0"/>
    <n v="0"/>
    <n v="0"/>
    <x v="0"/>
    <n v="0"/>
    <n v="0"/>
    <n v="0"/>
    <n v="0"/>
    <n v="86.2"/>
  </r>
  <r>
    <x v="484"/>
    <d v="2025-03-12T00:00:00"/>
    <x v="0"/>
    <s v="North"/>
    <x v="0"/>
    <x v="4"/>
    <x v="1"/>
    <n v="1"/>
    <n v="1"/>
    <n v="1"/>
    <x v="0"/>
    <n v="0"/>
    <n v="2"/>
    <n v="0"/>
    <n v="0"/>
    <n v="50.8"/>
  </r>
  <r>
    <x v="485"/>
    <d v="2025-02-07T00:00:00"/>
    <x v="0"/>
    <s v="West"/>
    <x v="1"/>
    <x v="1"/>
    <x v="1"/>
    <n v="1"/>
    <n v="0"/>
    <n v="0"/>
    <x v="0"/>
    <n v="0"/>
    <n v="0"/>
    <n v="0"/>
    <n v="0"/>
    <n v="50.9"/>
  </r>
  <r>
    <x v="486"/>
    <d v="2025-05-05T00:00:00"/>
    <x v="0"/>
    <s v="North"/>
    <x v="1"/>
    <x v="1"/>
    <x v="2"/>
    <n v="1"/>
    <n v="1"/>
    <n v="0"/>
    <x v="0"/>
    <n v="0"/>
    <n v="0"/>
    <n v="0"/>
    <n v="0"/>
    <n v="87.5"/>
  </r>
  <r>
    <x v="487"/>
    <d v="2025-03-18T00:00:00"/>
    <x v="0"/>
    <s v="South"/>
    <x v="1"/>
    <x v="3"/>
    <x v="1"/>
    <n v="0"/>
    <n v="0"/>
    <n v="0"/>
    <x v="0"/>
    <n v="0"/>
    <n v="0"/>
    <n v="0"/>
    <n v="0"/>
    <n v="43.6"/>
  </r>
  <r>
    <x v="488"/>
    <d v="2025-01-05T00:00:00"/>
    <x v="0"/>
    <s v="South"/>
    <x v="1"/>
    <x v="2"/>
    <x v="0"/>
    <n v="1"/>
    <n v="0"/>
    <n v="0"/>
    <x v="0"/>
    <n v="0"/>
    <n v="0"/>
    <n v="0"/>
    <n v="0"/>
    <n v="55.5"/>
  </r>
  <r>
    <x v="489"/>
    <d v="2025-05-10T00:00:00"/>
    <x v="0"/>
    <s v="South"/>
    <x v="0"/>
    <x v="3"/>
    <x v="0"/>
    <n v="0"/>
    <n v="0"/>
    <n v="0"/>
    <x v="0"/>
    <n v="0"/>
    <n v="0"/>
    <n v="0"/>
    <n v="0"/>
    <n v="78.599999999999994"/>
  </r>
  <r>
    <x v="490"/>
    <d v="2025-01-03T00:00:00"/>
    <x v="0"/>
    <s v="South"/>
    <x v="1"/>
    <x v="4"/>
    <x v="0"/>
    <n v="1"/>
    <n v="1"/>
    <n v="0"/>
    <x v="0"/>
    <n v="0"/>
    <n v="1"/>
    <n v="0"/>
    <n v="0"/>
    <n v="44.3"/>
  </r>
  <r>
    <x v="491"/>
    <d v="2025-05-08T00:00:00"/>
    <x v="0"/>
    <s v="South"/>
    <x v="1"/>
    <x v="2"/>
    <x v="1"/>
    <n v="1"/>
    <n v="1"/>
    <n v="0"/>
    <x v="0"/>
    <n v="0"/>
    <n v="0"/>
    <n v="0"/>
    <n v="0"/>
    <n v="45.2"/>
  </r>
  <r>
    <x v="492"/>
    <d v="2025-03-05T00:00:00"/>
    <x v="0"/>
    <s v="South"/>
    <x v="0"/>
    <x v="0"/>
    <x v="0"/>
    <n v="1"/>
    <n v="0"/>
    <n v="0"/>
    <x v="0"/>
    <n v="0"/>
    <n v="2"/>
    <n v="0"/>
    <n v="0"/>
    <n v="46.1"/>
  </r>
  <r>
    <x v="493"/>
    <d v="2025-02-17T00:00:00"/>
    <x v="0"/>
    <s v="North"/>
    <x v="1"/>
    <x v="1"/>
    <x v="2"/>
    <n v="1"/>
    <n v="0"/>
    <n v="0"/>
    <x v="0"/>
    <n v="0"/>
    <n v="0"/>
    <n v="0"/>
    <n v="0"/>
    <n v="49.6"/>
  </r>
  <r>
    <x v="494"/>
    <d v="2025-01-09T00:00:00"/>
    <x v="0"/>
    <s v="South"/>
    <x v="1"/>
    <x v="3"/>
    <x v="0"/>
    <n v="0"/>
    <n v="0"/>
    <n v="0"/>
    <x v="0"/>
    <n v="0"/>
    <n v="0"/>
    <n v="0"/>
    <n v="0"/>
    <n v="70.5"/>
  </r>
  <r>
    <x v="495"/>
    <d v="2025-05-05T00:00:00"/>
    <x v="0"/>
    <s v="South"/>
    <x v="1"/>
    <x v="0"/>
    <x v="0"/>
    <n v="0"/>
    <n v="0"/>
    <n v="0"/>
    <x v="0"/>
    <n v="0"/>
    <n v="1"/>
    <n v="0"/>
    <n v="0"/>
    <n v="60.8"/>
  </r>
  <r>
    <x v="496"/>
    <d v="2025-04-16T00:00:00"/>
    <x v="0"/>
    <s v="East"/>
    <x v="1"/>
    <x v="0"/>
    <x v="0"/>
    <n v="0"/>
    <n v="0"/>
    <n v="0"/>
    <x v="0"/>
    <n v="0"/>
    <n v="1"/>
    <n v="0"/>
    <n v="0"/>
    <n v="50.5"/>
  </r>
  <r>
    <x v="497"/>
    <d v="2025-03-02T00:00:00"/>
    <x v="0"/>
    <s v="South"/>
    <x v="0"/>
    <x v="1"/>
    <x v="1"/>
    <n v="1"/>
    <n v="0"/>
    <n v="0"/>
    <x v="0"/>
    <n v="0"/>
    <n v="0"/>
    <n v="0"/>
    <n v="0"/>
    <n v="54.9"/>
  </r>
  <r>
    <x v="498"/>
    <d v="2025-04-14T00:00:00"/>
    <x v="0"/>
    <s v="South"/>
    <x v="1"/>
    <x v="4"/>
    <x v="2"/>
    <n v="0"/>
    <n v="0"/>
    <n v="0"/>
    <x v="0"/>
    <n v="0"/>
    <n v="0"/>
    <n v="0"/>
    <n v="0"/>
    <n v="29.9"/>
  </r>
  <r>
    <x v="499"/>
    <d v="2025-02-15T00:00:00"/>
    <x v="0"/>
    <s v="East"/>
    <x v="0"/>
    <x v="2"/>
    <x v="0"/>
    <n v="0"/>
    <n v="0"/>
    <n v="0"/>
    <x v="0"/>
    <n v="0"/>
    <n v="0"/>
    <n v="0"/>
    <n v="0"/>
    <n v="48.3"/>
  </r>
  <r>
    <x v="500"/>
    <d v="2025-02-13T00:00:00"/>
    <x v="0"/>
    <s v="West"/>
    <x v="1"/>
    <x v="4"/>
    <x v="1"/>
    <n v="1"/>
    <n v="1"/>
    <n v="1"/>
    <x v="1"/>
    <n v="513.61"/>
    <n v="0"/>
    <n v="0"/>
    <n v="7"/>
    <n v="41.3"/>
  </r>
  <r>
    <x v="501"/>
    <d v="2025-03-06T00:00:00"/>
    <x v="0"/>
    <s v="North"/>
    <x v="1"/>
    <x v="0"/>
    <x v="1"/>
    <n v="0"/>
    <n v="0"/>
    <n v="0"/>
    <x v="0"/>
    <n v="0"/>
    <n v="0"/>
    <n v="0"/>
    <n v="0"/>
    <n v="61.4"/>
  </r>
  <r>
    <x v="502"/>
    <d v="2025-02-18T00:00:00"/>
    <x v="0"/>
    <s v="South"/>
    <x v="0"/>
    <x v="4"/>
    <x v="1"/>
    <n v="0"/>
    <n v="0"/>
    <n v="0"/>
    <x v="0"/>
    <n v="0"/>
    <n v="0"/>
    <n v="0"/>
    <n v="0"/>
    <n v="57.8"/>
  </r>
  <r>
    <x v="503"/>
    <d v="2025-04-07T00:00:00"/>
    <x v="0"/>
    <s v="North"/>
    <x v="0"/>
    <x v="1"/>
    <x v="1"/>
    <n v="0"/>
    <n v="0"/>
    <n v="0"/>
    <x v="0"/>
    <n v="0"/>
    <n v="0"/>
    <n v="0"/>
    <n v="0"/>
    <n v="78.2"/>
  </r>
  <r>
    <x v="504"/>
    <d v="2025-04-06T00:00:00"/>
    <x v="0"/>
    <s v="North"/>
    <x v="1"/>
    <x v="3"/>
    <x v="1"/>
    <n v="0"/>
    <n v="0"/>
    <n v="0"/>
    <x v="0"/>
    <n v="0"/>
    <n v="0"/>
    <n v="0"/>
    <n v="0"/>
    <n v="63.8"/>
  </r>
  <r>
    <x v="505"/>
    <d v="2025-01-30T00:00:00"/>
    <x v="0"/>
    <s v="North"/>
    <x v="0"/>
    <x v="4"/>
    <x v="1"/>
    <n v="1"/>
    <n v="0"/>
    <n v="0"/>
    <x v="0"/>
    <n v="0"/>
    <n v="0"/>
    <n v="0"/>
    <n v="0"/>
    <n v="56.8"/>
  </r>
  <r>
    <x v="506"/>
    <d v="2025-05-13T00:00:00"/>
    <x v="0"/>
    <s v="South"/>
    <x v="0"/>
    <x v="1"/>
    <x v="0"/>
    <n v="1"/>
    <n v="1"/>
    <n v="0"/>
    <x v="0"/>
    <n v="0"/>
    <n v="0"/>
    <n v="0"/>
    <n v="0"/>
    <n v="59.6"/>
  </r>
  <r>
    <x v="507"/>
    <d v="2025-01-20T00:00:00"/>
    <x v="0"/>
    <s v="West"/>
    <x v="1"/>
    <x v="2"/>
    <x v="2"/>
    <n v="1"/>
    <n v="1"/>
    <n v="0"/>
    <x v="0"/>
    <n v="0"/>
    <n v="0"/>
    <n v="0"/>
    <n v="0"/>
    <n v="50"/>
  </r>
  <r>
    <x v="508"/>
    <d v="2025-01-30T00:00:00"/>
    <x v="0"/>
    <s v="North"/>
    <x v="2"/>
    <x v="1"/>
    <x v="1"/>
    <n v="1"/>
    <n v="0"/>
    <n v="0"/>
    <x v="0"/>
    <n v="0"/>
    <n v="0"/>
    <n v="0"/>
    <n v="0"/>
    <n v="35.700000000000003"/>
  </r>
  <r>
    <x v="509"/>
    <d v="2025-01-13T00:00:00"/>
    <x v="0"/>
    <s v="South"/>
    <x v="1"/>
    <x v="1"/>
    <x v="1"/>
    <n v="0"/>
    <n v="0"/>
    <n v="0"/>
    <x v="0"/>
    <n v="0"/>
    <n v="2"/>
    <n v="0"/>
    <n v="0"/>
    <n v="47.2"/>
  </r>
  <r>
    <x v="510"/>
    <d v="2025-02-11T00:00:00"/>
    <x v="0"/>
    <s v="North"/>
    <x v="1"/>
    <x v="4"/>
    <x v="1"/>
    <n v="1"/>
    <n v="1"/>
    <n v="0"/>
    <x v="0"/>
    <n v="0"/>
    <n v="0"/>
    <n v="0"/>
    <n v="0"/>
    <n v="56.9"/>
  </r>
  <r>
    <x v="511"/>
    <d v="2025-04-15T00:00:00"/>
    <x v="0"/>
    <s v="South"/>
    <x v="1"/>
    <x v="1"/>
    <x v="1"/>
    <n v="0"/>
    <n v="0"/>
    <n v="0"/>
    <x v="0"/>
    <n v="0"/>
    <n v="1"/>
    <n v="0"/>
    <n v="0"/>
    <n v="57.2"/>
  </r>
  <r>
    <x v="512"/>
    <d v="2025-02-13T00:00:00"/>
    <x v="0"/>
    <s v="South"/>
    <x v="1"/>
    <x v="5"/>
    <x v="1"/>
    <n v="1"/>
    <n v="1"/>
    <n v="0"/>
    <x v="0"/>
    <n v="0"/>
    <n v="0"/>
    <n v="0"/>
    <n v="0"/>
    <n v="31.4"/>
  </r>
  <r>
    <x v="513"/>
    <d v="2025-05-09T00:00:00"/>
    <x v="0"/>
    <s v="South"/>
    <x v="0"/>
    <x v="1"/>
    <x v="1"/>
    <n v="0"/>
    <n v="0"/>
    <n v="0"/>
    <x v="0"/>
    <n v="0"/>
    <n v="0"/>
    <n v="0"/>
    <n v="0"/>
    <n v="71.2"/>
  </r>
  <r>
    <x v="514"/>
    <d v="2025-03-10T00:00:00"/>
    <x v="0"/>
    <s v="North"/>
    <x v="1"/>
    <x v="2"/>
    <x v="1"/>
    <n v="1"/>
    <n v="1"/>
    <n v="1"/>
    <x v="0"/>
    <n v="0"/>
    <n v="1"/>
    <n v="0"/>
    <n v="0"/>
    <n v="38.299999999999997"/>
  </r>
  <r>
    <x v="515"/>
    <d v="2025-04-01T00:00:00"/>
    <x v="0"/>
    <s v="North"/>
    <x v="1"/>
    <x v="1"/>
    <x v="1"/>
    <n v="1"/>
    <n v="1"/>
    <n v="0"/>
    <x v="0"/>
    <n v="0"/>
    <n v="0"/>
    <n v="0"/>
    <n v="0"/>
    <n v="63.1"/>
  </r>
  <r>
    <x v="516"/>
    <d v="2025-05-15T00:00:00"/>
    <x v="0"/>
    <s v="East"/>
    <x v="1"/>
    <x v="3"/>
    <x v="0"/>
    <n v="1"/>
    <n v="0"/>
    <n v="0"/>
    <x v="0"/>
    <n v="0"/>
    <n v="0"/>
    <n v="0"/>
    <n v="0"/>
    <n v="59.7"/>
  </r>
  <r>
    <x v="517"/>
    <d v="2025-05-04T00:00:00"/>
    <x v="0"/>
    <s v="South"/>
    <x v="0"/>
    <x v="4"/>
    <x v="2"/>
    <n v="1"/>
    <n v="1"/>
    <n v="1"/>
    <x v="0"/>
    <n v="0"/>
    <n v="0"/>
    <n v="0"/>
    <n v="0"/>
    <n v="59.5"/>
  </r>
  <r>
    <x v="518"/>
    <d v="2025-05-20T00:00:00"/>
    <x v="0"/>
    <s v="East"/>
    <x v="1"/>
    <x v="2"/>
    <x v="1"/>
    <n v="0"/>
    <n v="0"/>
    <n v="0"/>
    <x v="0"/>
    <n v="0"/>
    <n v="0"/>
    <n v="0"/>
    <n v="0"/>
    <n v="78.8"/>
  </r>
  <r>
    <x v="519"/>
    <d v="2025-05-16T00:00:00"/>
    <x v="0"/>
    <s v="West"/>
    <x v="0"/>
    <x v="3"/>
    <x v="1"/>
    <n v="0"/>
    <n v="0"/>
    <n v="0"/>
    <x v="0"/>
    <n v="0"/>
    <n v="0"/>
    <n v="0"/>
    <n v="0"/>
    <n v="54"/>
  </r>
  <r>
    <x v="520"/>
    <d v="2025-03-17T00:00:00"/>
    <x v="0"/>
    <s v="West"/>
    <x v="1"/>
    <x v="1"/>
    <x v="1"/>
    <n v="1"/>
    <n v="0"/>
    <n v="0"/>
    <x v="0"/>
    <n v="0"/>
    <n v="0"/>
    <n v="0"/>
    <n v="0"/>
    <n v="66.3"/>
  </r>
  <r>
    <x v="521"/>
    <d v="2025-01-27T00:00:00"/>
    <x v="0"/>
    <s v="East"/>
    <x v="2"/>
    <x v="2"/>
    <x v="1"/>
    <n v="1"/>
    <n v="1"/>
    <n v="0"/>
    <x v="0"/>
    <n v="0"/>
    <n v="0"/>
    <n v="0"/>
    <n v="0"/>
    <n v="54.7"/>
  </r>
  <r>
    <x v="522"/>
    <d v="2025-04-13T00:00:00"/>
    <x v="0"/>
    <s v="South"/>
    <x v="1"/>
    <x v="1"/>
    <x v="0"/>
    <n v="1"/>
    <n v="0"/>
    <n v="0"/>
    <x v="0"/>
    <n v="0"/>
    <n v="0"/>
    <n v="0"/>
    <n v="0"/>
    <n v="76.7"/>
  </r>
  <r>
    <x v="523"/>
    <d v="2025-05-03T00:00:00"/>
    <x v="0"/>
    <s v="South"/>
    <x v="0"/>
    <x v="0"/>
    <x v="0"/>
    <n v="1"/>
    <n v="0"/>
    <n v="0"/>
    <x v="0"/>
    <n v="0"/>
    <n v="2"/>
    <n v="0"/>
    <n v="0"/>
    <n v="47.4"/>
  </r>
  <r>
    <x v="524"/>
    <d v="2025-03-30T00:00:00"/>
    <x v="0"/>
    <s v="North"/>
    <x v="1"/>
    <x v="1"/>
    <x v="1"/>
    <n v="1"/>
    <n v="1"/>
    <n v="1"/>
    <x v="0"/>
    <n v="0"/>
    <n v="0"/>
    <n v="0"/>
    <n v="0"/>
    <n v="81.7"/>
  </r>
  <r>
    <x v="525"/>
    <d v="2025-01-01T00:00:00"/>
    <x v="0"/>
    <s v="West"/>
    <x v="1"/>
    <x v="2"/>
    <x v="0"/>
    <n v="1"/>
    <n v="1"/>
    <n v="1"/>
    <x v="0"/>
    <n v="0"/>
    <n v="0"/>
    <n v="0"/>
    <n v="0"/>
    <n v="67.5"/>
  </r>
  <r>
    <x v="526"/>
    <d v="2025-02-06T00:00:00"/>
    <x v="0"/>
    <s v="West"/>
    <x v="1"/>
    <x v="2"/>
    <x v="0"/>
    <n v="1"/>
    <n v="0"/>
    <n v="0"/>
    <x v="0"/>
    <n v="0"/>
    <n v="0"/>
    <n v="0"/>
    <n v="0"/>
    <n v="36.799999999999997"/>
  </r>
  <r>
    <x v="527"/>
    <d v="2025-02-25T00:00:00"/>
    <x v="0"/>
    <s v="North"/>
    <x v="0"/>
    <x v="1"/>
    <x v="1"/>
    <n v="0"/>
    <n v="0"/>
    <n v="0"/>
    <x v="0"/>
    <n v="0"/>
    <n v="0"/>
    <n v="0"/>
    <n v="0"/>
    <n v="66.5"/>
  </r>
  <r>
    <x v="528"/>
    <d v="2025-05-14T00:00:00"/>
    <x v="0"/>
    <s v="East"/>
    <x v="2"/>
    <x v="4"/>
    <x v="1"/>
    <n v="1"/>
    <n v="0"/>
    <n v="0"/>
    <x v="0"/>
    <n v="0"/>
    <n v="0"/>
    <n v="0"/>
    <n v="0"/>
    <n v="35.4"/>
  </r>
  <r>
    <x v="529"/>
    <d v="2025-05-20T00:00:00"/>
    <x v="0"/>
    <s v="South"/>
    <x v="1"/>
    <x v="1"/>
    <x v="0"/>
    <n v="0"/>
    <n v="0"/>
    <n v="0"/>
    <x v="0"/>
    <n v="0"/>
    <n v="0"/>
    <n v="0"/>
    <n v="0"/>
    <n v="64.3"/>
  </r>
  <r>
    <x v="530"/>
    <d v="2025-02-11T00:00:00"/>
    <x v="0"/>
    <s v="South"/>
    <x v="1"/>
    <x v="1"/>
    <x v="1"/>
    <n v="0"/>
    <n v="0"/>
    <n v="0"/>
    <x v="0"/>
    <n v="0"/>
    <n v="0"/>
    <n v="0"/>
    <n v="0"/>
    <n v="49.1"/>
  </r>
  <r>
    <x v="531"/>
    <d v="2025-02-13T00:00:00"/>
    <x v="0"/>
    <s v="West"/>
    <x v="1"/>
    <x v="1"/>
    <x v="1"/>
    <n v="1"/>
    <n v="0"/>
    <n v="0"/>
    <x v="0"/>
    <n v="0"/>
    <n v="0"/>
    <n v="0"/>
    <n v="0"/>
    <n v="84.3"/>
  </r>
  <r>
    <x v="532"/>
    <d v="2025-04-07T00:00:00"/>
    <x v="0"/>
    <s v="South"/>
    <x v="1"/>
    <x v="2"/>
    <x v="2"/>
    <n v="1"/>
    <n v="0"/>
    <n v="0"/>
    <x v="0"/>
    <n v="0"/>
    <n v="0"/>
    <n v="0"/>
    <n v="0"/>
    <n v="65.599999999999994"/>
  </r>
  <r>
    <x v="533"/>
    <d v="2025-03-08T00:00:00"/>
    <x v="0"/>
    <s v="East"/>
    <x v="1"/>
    <x v="0"/>
    <x v="1"/>
    <n v="1"/>
    <n v="0"/>
    <n v="0"/>
    <x v="0"/>
    <n v="0"/>
    <n v="0"/>
    <n v="0"/>
    <n v="0"/>
    <n v="47.1"/>
  </r>
  <r>
    <x v="534"/>
    <d v="2025-02-16T00:00:00"/>
    <x v="0"/>
    <s v="North"/>
    <x v="0"/>
    <x v="2"/>
    <x v="1"/>
    <n v="1"/>
    <n v="1"/>
    <n v="1"/>
    <x v="0"/>
    <n v="0"/>
    <n v="0"/>
    <n v="0"/>
    <n v="0"/>
    <n v="70"/>
  </r>
  <r>
    <x v="535"/>
    <d v="2025-04-28T00:00:00"/>
    <x v="0"/>
    <s v="South"/>
    <x v="1"/>
    <x v="2"/>
    <x v="2"/>
    <n v="1"/>
    <n v="0"/>
    <n v="0"/>
    <x v="0"/>
    <n v="0"/>
    <n v="0"/>
    <n v="0"/>
    <n v="0"/>
    <n v="54.6"/>
  </r>
  <r>
    <x v="536"/>
    <d v="2025-03-10T00:00:00"/>
    <x v="0"/>
    <s v="West"/>
    <x v="2"/>
    <x v="4"/>
    <x v="0"/>
    <n v="1"/>
    <n v="1"/>
    <n v="0"/>
    <x v="0"/>
    <n v="0"/>
    <n v="1"/>
    <n v="0"/>
    <n v="0"/>
    <n v="65.2"/>
  </r>
  <r>
    <x v="537"/>
    <d v="2025-01-25T00:00:00"/>
    <x v="0"/>
    <s v="East"/>
    <x v="1"/>
    <x v="4"/>
    <x v="1"/>
    <n v="1"/>
    <n v="0"/>
    <n v="0"/>
    <x v="0"/>
    <n v="0"/>
    <n v="0"/>
    <n v="0"/>
    <n v="0"/>
    <n v="65"/>
  </r>
  <r>
    <x v="538"/>
    <d v="2025-01-11T00:00:00"/>
    <x v="0"/>
    <s v="West"/>
    <x v="1"/>
    <x v="2"/>
    <x v="2"/>
    <n v="1"/>
    <n v="1"/>
    <n v="1"/>
    <x v="0"/>
    <n v="0"/>
    <n v="1"/>
    <n v="0"/>
    <n v="0"/>
    <n v="42.1"/>
  </r>
  <r>
    <x v="539"/>
    <d v="2025-03-31T00:00:00"/>
    <x v="0"/>
    <s v="West"/>
    <x v="2"/>
    <x v="2"/>
    <x v="1"/>
    <n v="1"/>
    <n v="0"/>
    <n v="0"/>
    <x v="0"/>
    <n v="0"/>
    <n v="0"/>
    <n v="0"/>
    <n v="0"/>
    <n v="43.4"/>
  </r>
  <r>
    <x v="540"/>
    <d v="2025-05-22T00:00:00"/>
    <x v="0"/>
    <s v="North"/>
    <x v="1"/>
    <x v="2"/>
    <x v="0"/>
    <n v="1"/>
    <n v="1"/>
    <n v="0"/>
    <x v="0"/>
    <n v="0"/>
    <n v="0"/>
    <n v="0"/>
    <n v="0"/>
    <n v="39.9"/>
  </r>
  <r>
    <x v="541"/>
    <d v="2025-05-16T00:00:00"/>
    <x v="0"/>
    <s v="North"/>
    <x v="1"/>
    <x v="3"/>
    <x v="0"/>
    <n v="0"/>
    <n v="0"/>
    <n v="0"/>
    <x v="0"/>
    <n v="0"/>
    <n v="0"/>
    <n v="0"/>
    <n v="0"/>
    <n v="74.099999999999994"/>
  </r>
  <r>
    <x v="542"/>
    <d v="2025-04-25T00:00:00"/>
    <x v="0"/>
    <s v="East"/>
    <x v="0"/>
    <x v="2"/>
    <x v="1"/>
    <n v="1"/>
    <n v="0"/>
    <n v="0"/>
    <x v="0"/>
    <n v="0"/>
    <n v="0"/>
    <n v="0"/>
    <n v="0"/>
    <n v="61.4"/>
  </r>
  <r>
    <x v="543"/>
    <d v="2025-04-17T00:00:00"/>
    <x v="0"/>
    <s v="East"/>
    <x v="1"/>
    <x v="4"/>
    <x v="2"/>
    <n v="1"/>
    <n v="1"/>
    <n v="1"/>
    <x v="0"/>
    <n v="0"/>
    <n v="0"/>
    <n v="0"/>
    <n v="0"/>
    <n v="76.8"/>
  </r>
  <r>
    <x v="544"/>
    <d v="2025-01-01T00:00:00"/>
    <x v="0"/>
    <s v="South"/>
    <x v="0"/>
    <x v="4"/>
    <x v="0"/>
    <n v="0"/>
    <n v="0"/>
    <n v="0"/>
    <x v="0"/>
    <n v="0"/>
    <n v="0"/>
    <n v="0"/>
    <n v="0"/>
    <n v="0"/>
  </r>
  <r>
    <x v="545"/>
    <d v="2025-03-18T00:00:00"/>
    <x v="0"/>
    <s v="East"/>
    <x v="1"/>
    <x v="2"/>
    <x v="0"/>
    <n v="1"/>
    <n v="1"/>
    <n v="1"/>
    <x v="0"/>
    <n v="0"/>
    <n v="0"/>
    <n v="0"/>
    <n v="0"/>
    <n v="45.3"/>
  </r>
  <r>
    <x v="546"/>
    <d v="2025-05-20T00:00:00"/>
    <x v="0"/>
    <s v="North"/>
    <x v="2"/>
    <x v="2"/>
    <x v="1"/>
    <n v="1"/>
    <n v="0"/>
    <n v="0"/>
    <x v="0"/>
    <n v="0"/>
    <n v="0"/>
    <n v="0"/>
    <n v="0"/>
    <n v="41.4"/>
  </r>
  <r>
    <x v="547"/>
    <d v="2025-03-16T00:00:00"/>
    <x v="0"/>
    <s v="North"/>
    <x v="1"/>
    <x v="1"/>
    <x v="0"/>
    <n v="1"/>
    <n v="0"/>
    <n v="0"/>
    <x v="0"/>
    <n v="0"/>
    <n v="0"/>
    <n v="0"/>
    <n v="0"/>
    <n v="37.1"/>
  </r>
  <r>
    <x v="548"/>
    <d v="2025-05-30T00:00:00"/>
    <x v="0"/>
    <s v="East"/>
    <x v="0"/>
    <x v="4"/>
    <x v="1"/>
    <n v="1"/>
    <n v="0"/>
    <n v="0"/>
    <x v="0"/>
    <n v="0"/>
    <n v="0"/>
    <n v="0"/>
    <n v="0"/>
    <n v="40.700000000000003"/>
  </r>
  <r>
    <x v="549"/>
    <d v="2025-02-20T00:00:00"/>
    <x v="0"/>
    <s v="North"/>
    <x v="1"/>
    <x v="4"/>
    <x v="2"/>
    <n v="0"/>
    <n v="0"/>
    <n v="0"/>
    <x v="0"/>
    <n v="0"/>
    <n v="2"/>
    <n v="0"/>
    <n v="0"/>
    <n v="55.9"/>
  </r>
  <r>
    <x v="550"/>
    <d v="2025-02-11T00:00:00"/>
    <x v="0"/>
    <s v="East"/>
    <x v="3"/>
    <x v="4"/>
    <x v="1"/>
    <n v="1"/>
    <n v="1"/>
    <n v="0"/>
    <x v="0"/>
    <n v="0"/>
    <n v="0"/>
    <n v="0"/>
    <n v="0"/>
    <n v="55.8"/>
  </r>
  <r>
    <x v="551"/>
    <d v="2025-01-02T00:00:00"/>
    <x v="0"/>
    <s v="South"/>
    <x v="2"/>
    <x v="3"/>
    <x v="0"/>
    <n v="1"/>
    <n v="0"/>
    <n v="0"/>
    <x v="0"/>
    <n v="0"/>
    <n v="0"/>
    <n v="0"/>
    <n v="0"/>
    <n v="64.3"/>
  </r>
  <r>
    <x v="552"/>
    <d v="2025-05-03T00:00:00"/>
    <x v="0"/>
    <s v="North"/>
    <x v="1"/>
    <x v="1"/>
    <x v="1"/>
    <n v="0"/>
    <n v="0"/>
    <n v="0"/>
    <x v="0"/>
    <n v="0"/>
    <n v="0"/>
    <n v="0"/>
    <n v="0"/>
    <n v="65.400000000000006"/>
  </r>
  <r>
    <x v="553"/>
    <d v="2025-02-24T00:00:00"/>
    <x v="0"/>
    <s v="West"/>
    <x v="1"/>
    <x v="1"/>
    <x v="1"/>
    <n v="1"/>
    <n v="0"/>
    <n v="0"/>
    <x v="0"/>
    <n v="0"/>
    <n v="0"/>
    <n v="0"/>
    <n v="0"/>
    <n v="89.8"/>
  </r>
  <r>
    <x v="554"/>
    <d v="2025-02-11T00:00:00"/>
    <x v="0"/>
    <s v="South"/>
    <x v="3"/>
    <x v="1"/>
    <x v="1"/>
    <n v="1"/>
    <n v="1"/>
    <n v="1"/>
    <x v="0"/>
    <n v="0"/>
    <n v="0"/>
    <n v="0"/>
    <n v="0"/>
    <n v="58.3"/>
  </r>
  <r>
    <x v="555"/>
    <d v="2025-05-06T00:00:00"/>
    <x v="0"/>
    <s v="South"/>
    <x v="1"/>
    <x v="4"/>
    <x v="0"/>
    <n v="1"/>
    <n v="0"/>
    <n v="0"/>
    <x v="0"/>
    <n v="0"/>
    <n v="0"/>
    <n v="0"/>
    <n v="0"/>
    <n v="64.400000000000006"/>
  </r>
  <r>
    <x v="556"/>
    <d v="2025-05-23T00:00:00"/>
    <x v="0"/>
    <s v="North"/>
    <x v="1"/>
    <x v="2"/>
    <x v="2"/>
    <n v="0"/>
    <n v="0"/>
    <n v="0"/>
    <x v="0"/>
    <n v="0"/>
    <n v="0"/>
    <n v="0"/>
    <n v="0"/>
    <n v="46.2"/>
  </r>
  <r>
    <x v="557"/>
    <d v="2025-01-09T00:00:00"/>
    <x v="0"/>
    <s v="North"/>
    <x v="0"/>
    <x v="2"/>
    <x v="1"/>
    <n v="0"/>
    <n v="0"/>
    <n v="0"/>
    <x v="0"/>
    <n v="0"/>
    <n v="0"/>
    <n v="0"/>
    <n v="0"/>
    <n v="78"/>
  </r>
  <r>
    <x v="558"/>
    <d v="2025-04-01T00:00:00"/>
    <x v="0"/>
    <s v="North"/>
    <x v="0"/>
    <x v="1"/>
    <x v="2"/>
    <n v="1"/>
    <n v="0"/>
    <n v="0"/>
    <x v="0"/>
    <n v="0"/>
    <n v="0"/>
    <n v="0"/>
    <n v="0"/>
    <n v="62.3"/>
  </r>
  <r>
    <x v="559"/>
    <d v="2025-03-08T00:00:00"/>
    <x v="0"/>
    <s v="North"/>
    <x v="1"/>
    <x v="1"/>
    <x v="1"/>
    <n v="1"/>
    <n v="0"/>
    <n v="0"/>
    <x v="0"/>
    <n v="0"/>
    <n v="0"/>
    <n v="0"/>
    <n v="0"/>
    <n v="78.8"/>
  </r>
  <r>
    <x v="560"/>
    <d v="2025-02-20T00:00:00"/>
    <x v="0"/>
    <s v="North"/>
    <x v="1"/>
    <x v="4"/>
    <x v="0"/>
    <n v="1"/>
    <n v="0"/>
    <n v="0"/>
    <x v="0"/>
    <n v="0"/>
    <n v="0"/>
    <n v="0"/>
    <n v="0"/>
    <n v="25"/>
  </r>
  <r>
    <x v="561"/>
    <d v="2025-03-30T00:00:00"/>
    <x v="0"/>
    <s v="East"/>
    <x v="1"/>
    <x v="4"/>
    <x v="0"/>
    <n v="0"/>
    <n v="0"/>
    <n v="0"/>
    <x v="0"/>
    <n v="0"/>
    <n v="0"/>
    <n v="0"/>
    <n v="0"/>
    <n v="53.4"/>
  </r>
  <r>
    <x v="562"/>
    <d v="2025-04-10T00:00:00"/>
    <x v="0"/>
    <s v="East"/>
    <x v="0"/>
    <x v="1"/>
    <x v="0"/>
    <n v="0"/>
    <n v="0"/>
    <n v="0"/>
    <x v="0"/>
    <n v="0"/>
    <n v="0"/>
    <n v="0"/>
    <n v="0"/>
    <n v="40.700000000000003"/>
  </r>
  <r>
    <x v="563"/>
    <d v="2025-03-24T00:00:00"/>
    <x v="0"/>
    <s v="East"/>
    <x v="1"/>
    <x v="1"/>
    <x v="2"/>
    <n v="1"/>
    <n v="1"/>
    <n v="0"/>
    <x v="0"/>
    <n v="0"/>
    <n v="0"/>
    <n v="0"/>
    <n v="0"/>
    <n v="36.700000000000003"/>
  </r>
  <r>
    <x v="564"/>
    <d v="2025-05-21T00:00:00"/>
    <x v="0"/>
    <s v="West"/>
    <x v="1"/>
    <x v="1"/>
    <x v="0"/>
    <n v="1"/>
    <n v="0"/>
    <n v="0"/>
    <x v="0"/>
    <n v="0"/>
    <n v="1"/>
    <n v="0"/>
    <n v="0"/>
    <n v="67.5"/>
  </r>
  <r>
    <x v="565"/>
    <d v="2025-03-29T00:00:00"/>
    <x v="0"/>
    <s v="East"/>
    <x v="1"/>
    <x v="4"/>
    <x v="2"/>
    <n v="1"/>
    <n v="1"/>
    <n v="1"/>
    <x v="0"/>
    <n v="0"/>
    <n v="0"/>
    <n v="0"/>
    <n v="0"/>
    <n v="69.900000000000006"/>
  </r>
  <r>
    <x v="566"/>
    <d v="2025-02-23T00:00:00"/>
    <x v="0"/>
    <s v="North"/>
    <x v="2"/>
    <x v="3"/>
    <x v="0"/>
    <n v="1"/>
    <n v="0"/>
    <n v="0"/>
    <x v="0"/>
    <n v="0"/>
    <n v="0"/>
    <n v="0"/>
    <n v="0"/>
    <n v="65.099999999999994"/>
  </r>
  <r>
    <x v="567"/>
    <d v="2025-02-16T00:00:00"/>
    <x v="0"/>
    <s v="West"/>
    <x v="1"/>
    <x v="2"/>
    <x v="2"/>
    <n v="1"/>
    <n v="0"/>
    <n v="0"/>
    <x v="0"/>
    <n v="0"/>
    <n v="0"/>
    <n v="0"/>
    <n v="0"/>
    <n v="48.7"/>
  </r>
  <r>
    <x v="568"/>
    <d v="2025-02-21T00:00:00"/>
    <x v="0"/>
    <s v="West"/>
    <x v="0"/>
    <x v="1"/>
    <x v="0"/>
    <n v="1"/>
    <n v="1"/>
    <n v="0"/>
    <x v="0"/>
    <n v="0"/>
    <n v="0"/>
    <n v="0"/>
    <n v="0"/>
    <n v="47.2"/>
  </r>
  <r>
    <x v="569"/>
    <d v="2025-01-07T00:00:00"/>
    <x v="0"/>
    <s v="North"/>
    <x v="1"/>
    <x v="3"/>
    <x v="1"/>
    <n v="1"/>
    <n v="0"/>
    <n v="0"/>
    <x v="0"/>
    <n v="0"/>
    <n v="2"/>
    <n v="0"/>
    <n v="0"/>
    <n v="20.3"/>
  </r>
  <r>
    <x v="570"/>
    <d v="2025-03-06T00:00:00"/>
    <x v="0"/>
    <s v="West"/>
    <x v="1"/>
    <x v="2"/>
    <x v="1"/>
    <n v="0"/>
    <n v="0"/>
    <n v="0"/>
    <x v="0"/>
    <n v="0"/>
    <n v="1"/>
    <n v="0"/>
    <n v="0"/>
    <n v="57.8"/>
  </r>
  <r>
    <x v="571"/>
    <d v="2025-03-30T00:00:00"/>
    <x v="0"/>
    <s v="East"/>
    <x v="1"/>
    <x v="0"/>
    <x v="0"/>
    <n v="1"/>
    <n v="0"/>
    <n v="0"/>
    <x v="0"/>
    <n v="0"/>
    <n v="0"/>
    <n v="0"/>
    <n v="0"/>
    <n v="78.7"/>
  </r>
  <r>
    <x v="572"/>
    <d v="2025-05-31T00:00:00"/>
    <x v="0"/>
    <s v="South"/>
    <x v="0"/>
    <x v="1"/>
    <x v="1"/>
    <n v="1"/>
    <n v="0"/>
    <n v="0"/>
    <x v="0"/>
    <n v="0"/>
    <n v="0"/>
    <n v="0"/>
    <n v="0"/>
    <n v="63.6"/>
  </r>
  <r>
    <x v="573"/>
    <d v="2025-02-20T00:00:00"/>
    <x v="0"/>
    <s v="South"/>
    <x v="1"/>
    <x v="0"/>
    <x v="1"/>
    <n v="0"/>
    <n v="0"/>
    <n v="0"/>
    <x v="0"/>
    <n v="0"/>
    <n v="2"/>
    <n v="0"/>
    <n v="0"/>
    <n v="45.1"/>
  </r>
  <r>
    <x v="574"/>
    <d v="2025-01-13T00:00:00"/>
    <x v="0"/>
    <s v="West"/>
    <x v="1"/>
    <x v="4"/>
    <x v="1"/>
    <n v="0"/>
    <n v="0"/>
    <n v="0"/>
    <x v="0"/>
    <n v="0"/>
    <n v="0"/>
    <n v="0"/>
    <n v="0"/>
    <n v="77.5"/>
  </r>
  <r>
    <x v="575"/>
    <d v="2025-05-13T00:00:00"/>
    <x v="0"/>
    <s v="East"/>
    <x v="0"/>
    <x v="2"/>
    <x v="0"/>
    <n v="1"/>
    <n v="1"/>
    <n v="0"/>
    <x v="0"/>
    <n v="0"/>
    <n v="0"/>
    <n v="0"/>
    <n v="0"/>
    <n v="58"/>
  </r>
  <r>
    <x v="576"/>
    <d v="2025-04-21T00:00:00"/>
    <x v="0"/>
    <s v="South"/>
    <x v="2"/>
    <x v="1"/>
    <x v="1"/>
    <n v="1"/>
    <n v="0"/>
    <n v="0"/>
    <x v="0"/>
    <n v="0"/>
    <n v="0"/>
    <n v="0"/>
    <n v="0"/>
    <n v="68.099999999999994"/>
  </r>
  <r>
    <x v="577"/>
    <d v="2025-03-01T00:00:00"/>
    <x v="0"/>
    <s v="East"/>
    <x v="2"/>
    <x v="1"/>
    <x v="2"/>
    <n v="1"/>
    <n v="0"/>
    <n v="0"/>
    <x v="0"/>
    <n v="0"/>
    <n v="0"/>
    <n v="0"/>
    <n v="0"/>
    <n v="35.4"/>
  </r>
  <r>
    <x v="578"/>
    <d v="2025-03-10T00:00:00"/>
    <x v="0"/>
    <s v="West"/>
    <x v="2"/>
    <x v="1"/>
    <x v="1"/>
    <n v="0"/>
    <n v="0"/>
    <n v="0"/>
    <x v="0"/>
    <n v="0"/>
    <n v="0"/>
    <n v="0"/>
    <n v="0"/>
    <n v="47"/>
  </r>
  <r>
    <x v="579"/>
    <d v="2025-03-08T00:00:00"/>
    <x v="0"/>
    <s v="East"/>
    <x v="0"/>
    <x v="2"/>
    <x v="1"/>
    <n v="0"/>
    <n v="0"/>
    <n v="0"/>
    <x v="0"/>
    <n v="0"/>
    <n v="0"/>
    <n v="0"/>
    <n v="0"/>
    <n v="75"/>
  </r>
  <r>
    <x v="580"/>
    <d v="2025-05-26T00:00:00"/>
    <x v="0"/>
    <s v="South"/>
    <x v="0"/>
    <x v="2"/>
    <x v="1"/>
    <n v="1"/>
    <n v="1"/>
    <n v="1"/>
    <x v="0"/>
    <n v="0"/>
    <n v="3"/>
    <n v="0"/>
    <n v="0"/>
    <n v="50.2"/>
  </r>
  <r>
    <x v="581"/>
    <d v="2025-05-20T00:00:00"/>
    <x v="0"/>
    <s v="East"/>
    <x v="0"/>
    <x v="2"/>
    <x v="1"/>
    <n v="1"/>
    <n v="0"/>
    <n v="0"/>
    <x v="0"/>
    <n v="0"/>
    <n v="0"/>
    <n v="0"/>
    <n v="0"/>
    <n v="40.1"/>
  </r>
  <r>
    <x v="582"/>
    <d v="2025-03-22T00:00:00"/>
    <x v="0"/>
    <s v="West"/>
    <x v="0"/>
    <x v="2"/>
    <x v="1"/>
    <n v="0"/>
    <n v="0"/>
    <n v="0"/>
    <x v="0"/>
    <n v="0"/>
    <n v="0"/>
    <n v="0"/>
    <n v="0"/>
    <n v="61.1"/>
  </r>
  <r>
    <x v="583"/>
    <d v="2025-02-15T00:00:00"/>
    <x v="0"/>
    <s v="South"/>
    <x v="0"/>
    <x v="2"/>
    <x v="1"/>
    <n v="0"/>
    <n v="0"/>
    <n v="0"/>
    <x v="0"/>
    <n v="0"/>
    <n v="0"/>
    <n v="0"/>
    <n v="0"/>
    <n v="42.4"/>
  </r>
  <r>
    <x v="584"/>
    <d v="2025-01-08T00:00:00"/>
    <x v="0"/>
    <s v="North"/>
    <x v="1"/>
    <x v="4"/>
    <x v="1"/>
    <n v="0"/>
    <n v="0"/>
    <n v="0"/>
    <x v="0"/>
    <n v="0"/>
    <n v="1"/>
    <n v="0"/>
    <n v="0"/>
    <n v="46.6"/>
  </r>
  <r>
    <x v="585"/>
    <d v="2025-01-29T00:00:00"/>
    <x v="0"/>
    <s v="South"/>
    <x v="1"/>
    <x v="1"/>
    <x v="2"/>
    <n v="1"/>
    <n v="1"/>
    <n v="0"/>
    <x v="0"/>
    <n v="0"/>
    <n v="0"/>
    <n v="0"/>
    <n v="0"/>
    <n v="72.099999999999994"/>
  </r>
  <r>
    <x v="586"/>
    <d v="2025-05-07T00:00:00"/>
    <x v="0"/>
    <s v="East"/>
    <x v="2"/>
    <x v="1"/>
    <x v="1"/>
    <n v="0"/>
    <n v="0"/>
    <n v="0"/>
    <x v="0"/>
    <n v="0"/>
    <n v="0"/>
    <n v="0"/>
    <n v="0"/>
    <n v="21.5"/>
  </r>
  <r>
    <x v="587"/>
    <d v="2025-03-01T00:00:00"/>
    <x v="0"/>
    <s v="North"/>
    <x v="1"/>
    <x v="4"/>
    <x v="0"/>
    <n v="1"/>
    <n v="0"/>
    <n v="0"/>
    <x v="0"/>
    <n v="0"/>
    <n v="1"/>
    <n v="0"/>
    <n v="0"/>
    <n v="65.400000000000006"/>
  </r>
  <r>
    <x v="588"/>
    <d v="2025-04-20T00:00:00"/>
    <x v="0"/>
    <s v="East"/>
    <x v="1"/>
    <x v="1"/>
    <x v="1"/>
    <n v="1"/>
    <n v="1"/>
    <n v="0"/>
    <x v="0"/>
    <n v="0"/>
    <n v="0"/>
    <n v="0"/>
    <n v="0"/>
    <n v="53.3"/>
  </r>
  <r>
    <x v="589"/>
    <d v="2025-01-16T00:00:00"/>
    <x v="0"/>
    <s v="East"/>
    <x v="1"/>
    <x v="1"/>
    <x v="2"/>
    <n v="0"/>
    <n v="0"/>
    <n v="0"/>
    <x v="0"/>
    <n v="0"/>
    <n v="2"/>
    <n v="0"/>
    <n v="0"/>
    <n v="52.3"/>
  </r>
  <r>
    <x v="590"/>
    <d v="2025-04-04T00:00:00"/>
    <x v="0"/>
    <s v="East"/>
    <x v="1"/>
    <x v="2"/>
    <x v="1"/>
    <n v="1"/>
    <n v="0"/>
    <n v="0"/>
    <x v="0"/>
    <n v="0"/>
    <n v="0"/>
    <n v="0"/>
    <n v="0"/>
    <n v="62.5"/>
  </r>
  <r>
    <x v="591"/>
    <d v="2025-01-29T00:00:00"/>
    <x v="0"/>
    <s v="North"/>
    <x v="2"/>
    <x v="4"/>
    <x v="1"/>
    <n v="1"/>
    <n v="0"/>
    <n v="0"/>
    <x v="0"/>
    <n v="0"/>
    <n v="0"/>
    <n v="0"/>
    <n v="0"/>
    <n v="69.8"/>
  </r>
  <r>
    <x v="592"/>
    <d v="2025-04-19T00:00:00"/>
    <x v="0"/>
    <s v="East"/>
    <x v="1"/>
    <x v="0"/>
    <x v="1"/>
    <n v="1"/>
    <n v="0"/>
    <n v="0"/>
    <x v="0"/>
    <n v="0"/>
    <n v="0"/>
    <n v="0"/>
    <n v="0"/>
    <n v="68.2"/>
  </r>
  <r>
    <x v="593"/>
    <d v="2025-03-10T00:00:00"/>
    <x v="0"/>
    <s v="South"/>
    <x v="1"/>
    <x v="4"/>
    <x v="0"/>
    <n v="1"/>
    <n v="1"/>
    <n v="1"/>
    <x v="1"/>
    <n v="751.73"/>
    <n v="0"/>
    <n v="0"/>
    <n v="6"/>
    <n v="35.200000000000003"/>
  </r>
  <r>
    <x v="594"/>
    <d v="2025-05-10T00:00:00"/>
    <x v="0"/>
    <s v="South"/>
    <x v="1"/>
    <x v="4"/>
    <x v="0"/>
    <n v="0"/>
    <n v="0"/>
    <n v="0"/>
    <x v="0"/>
    <n v="0"/>
    <n v="0"/>
    <n v="0"/>
    <n v="0"/>
    <n v="59.3"/>
  </r>
  <r>
    <x v="595"/>
    <d v="2025-02-02T00:00:00"/>
    <x v="0"/>
    <s v="North"/>
    <x v="1"/>
    <x v="4"/>
    <x v="1"/>
    <n v="0"/>
    <n v="0"/>
    <n v="0"/>
    <x v="0"/>
    <n v="0"/>
    <n v="0"/>
    <n v="0"/>
    <n v="0"/>
    <n v="68.099999999999994"/>
  </r>
  <r>
    <x v="596"/>
    <d v="2025-05-06T00:00:00"/>
    <x v="0"/>
    <s v="North"/>
    <x v="0"/>
    <x v="1"/>
    <x v="1"/>
    <n v="1"/>
    <n v="1"/>
    <n v="0"/>
    <x v="0"/>
    <n v="0"/>
    <n v="0"/>
    <n v="0"/>
    <n v="0"/>
    <n v="74.8"/>
  </r>
  <r>
    <x v="597"/>
    <d v="2025-01-19T00:00:00"/>
    <x v="0"/>
    <s v="West"/>
    <x v="0"/>
    <x v="1"/>
    <x v="1"/>
    <n v="1"/>
    <n v="1"/>
    <n v="1"/>
    <x v="0"/>
    <n v="0"/>
    <n v="0"/>
    <n v="0"/>
    <n v="0"/>
    <n v="61.7"/>
  </r>
  <r>
    <x v="598"/>
    <d v="2025-01-02T00:00:00"/>
    <x v="0"/>
    <s v="North"/>
    <x v="1"/>
    <x v="1"/>
    <x v="1"/>
    <n v="1"/>
    <n v="0"/>
    <n v="0"/>
    <x v="0"/>
    <n v="0"/>
    <n v="0"/>
    <n v="0"/>
    <n v="0"/>
    <n v="24.3"/>
  </r>
  <r>
    <x v="599"/>
    <d v="2025-05-03T00:00:00"/>
    <x v="0"/>
    <s v="South"/>
    <x v="0"/>
    <x v="2"/>
    <x v="1"/>
    <n v="0"/>
    <n v="0"/>
    <n v="0"/>
    <x v="0"/>
    <n v="0"/>
    <n v="1"/>
    <n v="0"/>
    <n v="0"/>
    <n v="61.9"/>
  </r>
  <r>
    <x v="600"/>
    <d v="2025-05-27T00:00:00"/>
    <x v="0"/>
    <s v="East"/>
    <x v="0"/>
    <x v="3"/>
    <x v="2"/>
    <n v="0"/>
    <n v="0"/>
    <n v="0"/>
    <x v="0"/>
    <n v="0"/>
    <n v="2"/>
    <n v="0"/>
    <n v="0"/>
    <n v="41.7"/>
  </r>
  <r>
    <x v="601"/>
    <d v="2025-02-09T00:00:00"/>
    <x v="0"/>
    <s v="South"/>
    <x v="0"/>
    <x v="4"/>
    <x v="1"/>
    <n v="1"/>
    <n v="0"/>
    <n v="0"/>
    <x v="0"/>
    <n v="0"/>
    <n v="0"/>
    <n v="0"/>
    <n v="0"/>
    <n v="87.6"/>
  </r>
  <r>
    <x v="602"/>
    <d v="2025-05-18T00:00:00"/>
    <x v="0"/>
    <s v="East"/>
    <x v="1"/>
    <x v="2"/>
    <x v="1"/>
    <n v="1"/>
    <n v="0"/>
    <n v="0"/>
    <x v="0"/>
    <n v="0"/>
    <n v="0"/>
    <n v="0"/>
    <n v="0"/>
    <n v="30.8"/>
  </r>
  <r>
    <x v="603"/>
    <d v="2025-05-17T00:00:00"/>
    <x v="0"/>
    <s v="North"/>
    <x v="1"/>
    <x v="0"/>
    <x v="1"/>
    <n v="0"/>
    <n v="0"/>
    <n v="0"/>
    <x v="0"/>
    <n v="0"/>
    <n v="0"/>
    <n v="0"/>
    <n v="0"/>
    <n v="54"/>
  </r>
  <r>
    <x v="604"/>
    <d v="2025-01-25T00:00:00"/>
    <x v="0"/>
    <s v="East"/>
    <x v="0"/>
    <x v="3"/>
    <x v="0"/>
    <n v="1"/>
    <n v="0"/>
    <n v="0"/>
    <x v="0"/>
    <n v="0"/>
    <n v="1"/>
    <n v="0"/>
    <n v="0"/>
    <n v="54.5"/>
  </r>
  <r>
    <x v="605"/>
    <d v="2025-05-04T00:00:00"/>
    <x v="0"/>
    <s v="West"/>
    <x v="1"/>
    <x v="2"/>
    <x v="2"/>
    <n v="1"/>
    <n v="1"/>
    <n v="0"/>
    <x v="0"/>
    <n v="0"/>
    <n v="0"/>
    <n v="0"/>
    <n v="0"/>
    <n v="61.3"/>
  </r>
  <r>
    <x v="606"/>
    <d v="2025-04-14T00:00:00"/>
    <x v="0"/>
    <s v="West"/>
    <x v="1"/>
    <x v="1"/>
    <x v="1"/>
    <n v="1"/>
    <n v="0"/>
    <n v="0"/>
    <x v="0"/>
    <n v="0"/>
    <n v="0"/>
    <n v="0"/>
    <n v="0"/>
    <n v="62.7"/>
  </r>
  <r>
    <x v="607"/>
    <d v="2025-04-18T00:00:00"/>
    <x v="0"/>
    <s v="South"/>
    <x v="1"/>
    <x v="2"/>
    <x v="1"/>
    <n v="1"/>
    <n v="1"/>
    <n v="0"/>
    <x v="0"/>
    <n v="0"/>
    <n v="0"/>
    <n v="0"/>
    <n v="0"/>
    <n v="43.1"/>
  </r>
  <r>
    <x v="608"/>
    <d v="2025-02-24T00:00:00"/>
    <x v="0"/>
    <s v="South"/>
    <x v="0"/>
    <x v="0"/>
    <x v="0"/>
    <n v="0"/>
    <n v="0"/>
    <n v="0"/>
    <x v="0"/>
    <n v="0"/>
    <n v="0"/>
    <n v="0"/>
    <n v="0"/>
    <n v="59.9"/>
  </r>
  <r>
    <x v="609"/>
    <d v="2025-04-19T00:00:00"/>
    <x v="0"/>
    <s v="North"/>
    <x v="2"/>
    <x v="2"/>
    <x v="1"/>
    <n v="1"/>
    <n v="1"/>
    <n v="1"/>
    <x v="0"/>
    <n v="0"/>
    <n v="0"/>
    <n v="0"/>
    <n v="0"/>
    <n v="55.7"/>
  </r>
  <r>
    <x v="610"/>
    <d v="2025-03-07T00:00:00"/>
    <x v="0"/>
    <s v="South"/>
    <x v="0"/>
    <x v="1"/>
    <x v="0"/>
    <n v="1"/>
    <n v="0"/>
    <n v="0"/>
    <x v="0"/>
    <n v="0"/>
    <n v="0"/>
    <n v="0"/>
    <n v="0"/>
    <n v="37.1"/>
  </r>
  <r>
    <x v="611"/>
    <d v="2025-03-09T00:00:00"/>
    <x v="0"/>
    <s v="East"/>
    <x v="1"/>
    <x v="1"/>
    <x v="0"/>
    <n v="0"/>
    <n v="0"/>
    <n v="0"/>
    <x v="0"/>
    <n v="0"/>
    <n v="1"/>
    <n v="0"/>
    <n v="0"/>
    <n v="46.7"/>
  </r>
  <r>
    <x v="612"/>
    <d v="2025-05-01T00:00:00"/>
    <x v="0"/>
    <s v="South"/>
    <x v="0"/>
    <x v="1"/>
    <x v="0"/>
    <n v="1"/>
    <n v="0"/>
    <n v="0"/>
    <x v="0"/>
    <n v="0"/>
    <n v="0"/>
    <n v="0"/>
    <n v="0"/>
    <n v="54.1"/>
  </r>
  <r>
    <x v="613"/>
    <d v="2025-02-09T00:00:00"/>
    <x v="0"/>
    <s v="West"/>
    <x v="0"/>
    <x v="1"/>
    <x v="2"/>
    <n v="1"/>
    <n v="1"/>
    <n v="1"/>
    <x v="0"/>
    <n v="0"/>
    <n v="0"/>
    <n v="0"/>
    <n v="0"/>
    <n v="56.1"/>
  </r>
  <r>
    <x v="614"/>
    <d v="2025-05-22T00:00:00"/>
    <x v="0"/>
    <s v="West"/>
    <x v="1"/>
    <x v="3"/>
    <x v="2"/>
    <n v="0"/>
    <n v="0"/>
    <n v="0"/>
    <x v="0"/>
    <n v="0"/>
    <n v="0"/>
    <n v="0"/>
    <n v="0"/>
    <n v="23.6"/>
  </r>
  <r>
    <x v="615"/>
    <d v="2025-02-11T00:00:00"/>
    <x v="0"/>
    <s v="North"/>
    <x v="1"/>
    <x v="1"/>
    <x v="2"/>
    <n v="0"/>
    <n v="0"/>
    <n v="0"/>
    <x v="0"/>
    <n v="0"/>
    <n v="0"/>
    <n v="0"/>
    <n v="0"/>
    <n v="54.7"/>
  </r>
  <r>
    <x v="616"/>
    <d v="2025-04-12T00:00:00"/>
    <x v="0"/>
    <s v="North"/>
    <x v="1"/>
    <x v="3"/>
    <x v="0"/>
    <n v="0"/>
    <n v="0"/>
    <n v="0"/>
    <x v="0"/>
    <n v="0"/>
    <n v="2"/>
    <n v="0"/>
    <n v="0"/>
    <n v="50.4"/>
  </r>
  <r>
    <x v="617"/>
    <d v="2025-03-01T00:00:00"/>
    <x v="0"/>
    <s v="West"/>
    <x v="1"/>
    <x v="4"/>
    <x v="1"/>
    <n v="1"/>
    <n v="0"/>
    <n v="0"/>
    <x v="0"/>
    <n v="0"/>
    <n v="0"/>
    <n v="0"/>
    <n v="0"/>
    <n v="54.5"/>
  </r>
  <r>
    <x v="618"/>
    <d v="2025-03-17T00:00:00"/>
    <x v="0"/>
    <s v="West"/>
    <x v="0"/>
    <x v="0"/>
    <x v="0"/>
    <n v="0"/>
    <n v="0"/>
    <n v="0"/>
    <x v="0"/>
    <n v="0"/>
    <n v="0"/>
    <n v="0"/>
    <n v="0"/>
    <n v="58"/>
  </r>
  <r>
    <x v="619"/>
    <d v="2025-01-11T00:00:00"/>
    <x v="0"/>
    <s v="North"/>
    <x v="1"/>
    <x v="2"/>
    <x v="1"/>
    <n v="0"/>
    <n v="0"/>
    <n v="0"/>
    <x v="0"/>
    <n v="0"/>
    <n v="0"/>
    <n v="0"/>
    <n v="0"/>
    <n v="42.9"/>
  </r>
  <r>
    <x v="620"/>
    <d v="2025-02-17T00:00:00"/>
    <x v="0"/>
    <s v="South"/>
    <x v="1"/>
    <x v="4"/>
    <x v="2"/>
    <n v="1"/>
    <n v="0"/>
    <n v="0"/>
    <x v="0"/>
    <n v="0"/>
    <n v="0"/>
    <n v="0"/>
    <n v="0"/>
    <n v="51.1"/>
  </r>
  <r>
    <x v="621"/>
    <d v="2025-03-25T00:00:00"/>
    <x v="0"/>
    <s v="East"/>
    <x v="1"/>
    <x v="2"/>
    <x v="0"/>
    <n v="1"/>
    <n v="1"/>
    <n v="0"/>
    <x v="0"/>
    <n v="0"/>
    <n v="0"/>
    <n v="0"/>
    <n v="0"/>
    <n v="51.8"/>
  </r>
  <r>
    <x v="622"/>
    <d v="2025-05-01T00:00:00"/>
    <x v="0"/>
    <s v="South"/>
    <x v="1"/>
    <x v="2"/>
    <x v="1"/>
    <n v="0"/>
    <n v="0"/>
    <n v="0"/>
    <x v="0"/>
    <n v="0"/>
    <n v="0"/>
    <n v="0"/>
    <n v="0"/>
    <n v="67.7"/>
  </r>
  <r>
    <x v="623"/>
    <d v="2025-04-02T00:00:00"/>
    <x v="0"/>
    <s v="East"/>
    <x v="1"/>
    <x v="1"/>
    <x v="0"/>
    <n v="0"/>
    <n v="0"/>
    <n v="0"/>
    <x v="0"/>
    <n v="0"/>
    <n v="0"/>
    <n v="0"/>
    <n v="0"/>
    <n v="75.8"/>
  </r>
  <r>
    <x v="624"/>
    <d v="2025-04-05T00:00:00"/>
    <x v="0"/>
    <s v="East"/>
    <x v="1"/>
    <x v="0"/>
    <x v="1"/>
    <n v="1"/>
    <n v="1"/>
    <n v="0"/>
    <x v="0"/>
    <n v="0"/>
    <n v="0"/>
    <n v="0"/>
    <n v="0"/>
    <n v="72.8"/>
  </r>
  <r>
    <x v="625"/>
    <d v="2025-02-24T00:00:00"/>
    <x v="0"/>
    <s v="North"/>
    <x v="0"/>
    <x v="4"/>
    <x v="1"/>
    <n v="1"/>
    <n v="1"/>
    <n v="0"/>
    <x v="0"/>
    <n v="0"/>
    <n v="0"/>
    <n v="0"/>
    <n v="0"/>
    <n v="54.4"/>
  </r>
  <r>
    <x v="626"/>
    <d v="2025-01-24T00:00:00"/>
    <x v="0"/>
    <s v="West"/>
    <x v="1"/>
    <x v="2"/>
    <x v="0"/>
    <n v="1"/>
    <n v="0"/>
    <n v="0"/>
    <x v="0"/>
    <n v="0"/>
    <n v="0"/>
    <n v="0"/>
    <n v="0"/>
    <n v="51.8"/>
  </r>
  <r>
    <x v="627"/>
    <d v="2025-04-10T00:00:00"/>
    <x v="0"/>
    <s v="South"/>
    <x v="1"/>
    <x v="2"/>
    <x v="1"/>
    <n v="0"/>
    <n v="0"/>
    <n v="0"/>
    <x v="0"/>
    <n v="0"/>
    <n v="0"/>
    <n v="0"/>
    <n v="0"/>
    <n v="40.299999999999997"/>
  </r>
  <r>
    <x v="628"/>
    <d v="2025-02-19T00:00:00"/>
    <x v="0"/>
    <s v="South"/>
    <x v="1"/>
    <x v="3"/>
    <x v="1"/>
    <n v="1"/>
    <n v="1"/>
    <n v="1"/>
    <x v="0"/>
    <n v="0"/>
    <n v="0"/>
    <n v="0"/>
    <n v="0"/>
    <n v="61.7"/>
  </r>
  <r>
    <x v="629"/>
    <d v="2025-03-22T00:00:00"/>
    <x v="0"/>
    <s v="North"/>
    <x v="1"/>
    <x v="4"/>
    <x v="1"/>
    <n v="0"/>
    <n v="0"/>
    <n v="0"/>
    <x v="0"/>
    <n v="0"/>
    <n v="0"/>
    <n v="0"/>
    <n v="0"/>
    <n v="45"/>
  </r>
  <r>
    <x v="630"/>
    <d v="2025-04-08T00:00:00"/>
    <x v="0"/>
    <s v="East"/>
    <x v="0"/>
    <x v="1"/>
    <x v="2"/>
    <n v="1"/>
    <n v="1"/>
    <n v="1"/>
    <x v="0"/>
    <n v="0"/>
    <n v="0"/>
    <n v="0"/>
    <n v="0"/>
    <n v="60"/>
  </r>
  <r>
    <x v="631"/>
    <d v="2025-03-16T00:00:00"/>
    <x v="0"/>
    <s v="North"/>
    <x v="1"/>
    <x v="4"/>
    <x v="1"/>
    <n v="1"/>
    <n v="0"/>
    <n v="0"/>
    <x v="0"/>
    <n v="0"/>
    <n v="0"/>
    <n v="0"/>
    <n v="0"/>
    <n v="0"/>
  </r>
  <r>
    <x v="632"/>
    <d v="2025-03-07T00:00:00"/>
    <x v="0"/>
    <s v="East"/>
    <x v="1"/>
    <x v="2"/>
    <x v="1"/>
    <n v="1"/>
    <n v="0"/>
    <n v="0"/>
    <x v="0"/>
    <n v="0"/>
    <n v="0"/>
    <n v="0"/>
    <n v="0"/>
    <n v="55.5"/>
  </r>
  <r>
    <x v="633"/>
    <d v="2025-03-16T00:00:00"/>
    <x v="0"/>
    <s v="South"/>
    <x v="1"/>
    <x v="3"/>
    <x v="0"/>
    <n v="0"/>
    <n v="0"/>
    <n v="0"/>
    <x v="0"/>
    <n v="0"/>
    <n v="0"/>
    <n v="0"/>
    <n v="0"/>
    <n v="51.8"/>
  </r>
  <r>
    <x v="634"/>
    <d v="2025-05-26T00:00:00"/>
    <x v="0"/>
    <s v="East"/>
    <x v="1"/>
    <x v="5"/>
    <x v="2"/>
    <n v="1"/>
    <n v="0"/>
    <n v="0"/>
    <x v="0"/>
    <n v="0"/>
    <n v="3"/>
    <n v="0"/>
    <n v="0"/>
    <n v="56"/>
  </r>
  <r>
    <x v="635"/>
    <d v="2025-01-14T00:00:00"/>
    <x v="0"/>
    <s v="West"/>
    <x v="1"/>
    <x v="1"/>
    <x v="1"/>
    <n v="0"/>
    <n v="0"/>
    <n v="0"/>
    <x v="0"/>
    <n v="0"/>
    <n v="0"/>
    <n v="0"/>
    <n v="0"/>
    <n v="52.5"/>
  </r>
  <r>
    <x v="636"/>
    <d v="2025-03-30T00:00:00"/>
    <x v="0"/>
    <s v="West"/>
    <x v="1"/>
    <x v="2"/>
    <x v="2"/>
    <n v="1"/>
    <n v="0"/>
    <n v="0"/>
    <x v="0"/>
    <n v="0"/>
    <n v="0"/>
    <n v="0"/>
    <n v="0"/>
    <n v="42.5"/>
  </r>
  <r>
    <x v="637"/>
    <d v="2025-05-12T00:00:00"/>
    <x v="0"/>
    <s v="East"/>
    <x v="0"/>
    <x v="0"/>
    <x v="1"/>
    <n v="1"/>
    <n v="1"/>
    <n v="1"/>
    <x v="0"/>
    <n v="0"/>
    <n v="0"/>
    <n v="0"/>
    <n v="0"/>
    <n v="65.3"/>
  </r>
  <r>
    <x v="638"/>
    <d v="2025-05-10T00:00:00"/>
    <x v="0"/>
    <s v="West"/>
    <x v="1"/>
    <x v="2"/>
    <x v="1"/>
    <n v="0"/>
    <n v="0"/>
    <n v="0"/>
    <x v="0"/>
    <n v="0"/>
    <n v="0"/>
    <n v="0"/>
    <n v="0"/>
    <n v="37.6"/>
  </r>
  <r>
    <x v="639"/>
    <d v="2025-04-09T00:00:00"/>
    <x v="0"/>
    <s v="East"/>
    <x v="1"/>
    <x v="4"/>
    <x v="0"/>
    <n v="0"/>
    <n v="0"/>
    <n v="0"/>
    <x v="0"/>
    <n v="0"/>
    <n v="0"/>
    <n v="0"/>
    <n v="0"/>
    <n v="57.8"/>
  </r>
  <r>
    <x v="640"/>
    <d v="2025-05-26T00:00:00"/>
    <x v="0"/>
    <s v="North"/>
    <x v="1"/>
    <x v="4"/>
    <x v="1"/>
    <n v="1"/>
    <n v="0"/>
    <n v="0"/>
    <x v="0"/>
    <n v="0"/>
    <n v="0"/>
    <n v="0"/>
    <n v="0"/>
    <n v="52.7"/>
  </r>
  <r>
    <x v="641"/>
    <d v="2025-02-12T00:00:00"/>
    <x v="0"/>
    <s v="North"/>
    <x v="1"/>
    <x v="1"/>
    <x v="1"/>
    <n v="1"/>
    <n v="0"/>
    <n v="0"/>
    <x v="0"/>
    <n v="0"/>
    <n v="0"/>
    <n v="0"/>
    <n v="0"/>
    <n v="51.7"/>
  </r>
  <r>
    <x v="642"/>
    <d v="2025-04-01T00:00:00"/>
    <x v="0"/>
    <s v="North"/>
    <x v="0"/>
    <x v="0"/>
    <x v="0"/>
    <n v="0"/>
    <n v="0"/>
    <n v="0"/>
    <x v="0"/>
    <n v="0"/>
    <n v="0"/>
    <n v="0"/>
    <n v="0"/>
    <n v="57"/>
  </r>
  <r>
    <x v="643"/>
    <d v="2025-01-18T00:00:00"/>
    <x v="0"/>
    <s v="South"/>
    <x v="0"/>
    <x v="1"/>
    <x v="0"/>
    <n v="0"/>
    <n v="0"/>
    <n v="0"/>
    <x v="0"/>
    <n v="0"/>
    <n v="0"/>
    <n v="0"/>
    <n v="0"/>
    <n v="39.5"/>
  </r>
  <r>
    <x v="644"/>
    <d v="2025-04-06T00:00:00"/>
    <x v="0"/>
    <s v="East"/>
    <x v="2"/>
    <x v="1"/>
    <x v="1"/>
    <n v="1"/>
    <n v="0"/>
    <n v="0"/>
    <x v="0"/>
    <n v="0"/>
    <n v="0"/>
    <n v="0"/>
    <n v="0"/>
    <n v="76.5"/>
  </r>
  <r>
    <x v="645"/>
    <d v="2025-04-17T00:00:00"/>
    <x v="0"/>
    <s v="East"/>
    <x v="1"/>
    <x v="1"/>
    <x v="1"/>
    <n v="1"/>
    <n v="0"/>
    <n v="0"/>
    <x v="0"/>
    <n v="0"/>
    <n v="0"/>
    <n v="0"/>
    <n v="0"/>
    <n v="32.4"/>
  </r>
  <r>
    <x v="646"/>
    <d v="2025-02-07T00:00:00"/>
    <x v="0"/>
    <s v="North"/>
    <x v="0"/>
    <x v="2"/>
    <x v="1"/>
    <n v="0"/>
    <n v="0"/>
    <n v="0"/>
    <x v="0"/>
    <n v="0"/>
    <n v="0"/>
    <n v="0"/>
    <n v="0"/>
    <n v="58.6"/>
  </r>
  <r>
    <x v="647"/>
    <d v="2025-03-04T00:00:00"/>
    <x v="0"/>
    <s v="East"/>
    <x v="1"/>
    <x v="1"/>
    <x v="0"/>
    <n v="1"/>
    <n v="0"/>
    <n v="0"/>
    <x v="0"/>
    <n v="0"/>
    <n v="0"/>
    <n v="0"/>
    <n v="0"/>
    <n v="78.599999999999994"/>
  </r>
  <r>
    <x v="648"/>
    <d v="2025-02-17T00:00:00"/>
    <x v="0"/>
    <s v="North"/>
    <x v="0"/>
    <x v="1"/>
    <x v="2"/>
    <n v="0"/>
    <n v="0"/>
    <n v="0"/>
    <x v="0"/>
    <n v="0"/>
    <n v="0"/>
    <n v="0"/>
    <n v="0"/>
    <n v="54.5"/>
  </r>
  <r>
    <x v="649"/>
    <d v="2025-05-06T00:00:00"/>
    <x v="0"/>
    <s v="South"/>
    <x v="1"/>
    <x v="3"/>
    <x v="1"/>
    <n v="1"/>
    <n v="0"/>
    <n v="0"/>
    <x v="0"/>
    <n v="0"/>
    <n v="0"/>
    <n v="0"/>
    <n v="0"/>
    <n v="57.6"/>
  </r>
  <r>
    <x v="650"/>
    <d v="2025-03-25T00:00:00"/>
    <x v="0"/>
    <s v="South"/>
    <x v="1"/>
    <x v="3"/>
    <x v="2"/>
    <n v="0"/>
    <n v="0"/>
    <n v="0"/>
    <x v="0"/>
    <n v="0"/>
    <n v="0"/>
    <n v="0"/>
    <n v="0"/>
    <n v="52.8"/>
  </r>
  <r>
    <x v="651"/>
    <d v="2025-03-04T00:00:00"/>
    <x v="0"/>
    <s v="West"/>
    <x v="1"/>
    <x v="0"/>
    <x v="2"/>
    <n v="1"/>
    <n v="0"/>
    <n v="0"/>
    <x v="0"/>
    <n v="0"/>
    <n v="0"/>
    <n v="0"/>
    <n v="0"/>
    <n v="52.9"/>
  </r>
  <r>
    <x v="652"/>
    <d v="2025-05-09T00:00:00"/>
    <x v="0"/>
    <s v="West"/>
    <x v="1"/>
    <x v="1"/>
    <x v="1"/>
    <n v="1"/>
    <n v="0"/>
    <n v="0"/>
    <x v="0"/>
    <n v="0"/>
    <n v="1"/>
    <n v="0"/>
    <n v="0"/>
    <n v="55.9"/>
  </r>
  <r>
    <x v="653"/>
    <d v="2025-05-17T00:00:00"/>
    <x v="0"/>
    <s v="West"/>
    <x v="1"/>
    <x v="3"/>
    <x v="2"/>
    <n v="1"/>
    <n v="0"/>
    <n v="0"/>
    <x v="0"/>
    <n v="0"/>
    <n v="0"/>
    <n v="0"/>
    <n v="0"/>
    <n v="74.2"/>
  </r>
  <r>
    <x v="654"/>
    <d v="2025-01-12T00:00:00"/>
    <x v="0"/>
    <s v="West"/>
    <x v="1"/>
    <x v="1"/>
    <x v="1"/>
    <n v="0"/>
    <n v="0"/>
    <n v="0"/>
    <x v="0"/>
    <n v="0"/>
    <n v="0"/>
    <n v="0"/>
    <n v="0"/>
    <n v="46.3"/>
  </r>
  <r>
    <x v="655"/>
    <d v="2025-03-12T00:00:00"/>
    <x v="0"/>
    <s v="West"/>
    <x v="1"/>
    <x v="1"/>
    <x v="2"/>
    <n v="1"/>
    <n v="0"/>
    <n v="0"/>
    <x v="0"/>
    <n v="0"/>
    <n v="0"/>
    <n v="0"/>
    <n v="0"/>
    <n v="62"/>
  </r>
  <r>
    <x v="656"/>
    <d v="2025-04-02T00:00:00"/>
    <x v="0"/>
    <s v="South"/>
    <x v="1"/>
    <x v="1"/>
    <x v="0"/>
    <n v="0"/>
    <n v="0"/>
    <n v="0"/>
    <x v="0"/>
    <n v="0"/>
    <n v="0"/>
    <n v="0"/>
    <n v="0"/>
    <n v="55.6"/>
  </r>
  <r>
    <x v="657"/>
    <d v="2025-01-13T00:00:00"/>
    <x v="0"/>
    <s v="South"/>
    <x v="1"/>
    <x v="1"/>
    <x v="0"/>
    <n v="1"/>
    <n v="0"/>
    <n v="0"/>
    <x v="0"/>
    <n v="0"/>
    <n v="0"/>
    <n v="0"/>
    <n v="0"/>
    <n v="62.8"/>
  </r>
  <r>
    <x v="658"/>
    <d v="2025-03-07T00:00:00"/>
    <x v="0"/>
    <s v="East"/>
    <x v="1"/>
    <x v="3"/>
    <x v="1"/>
    <n v="0"/>
    <n v="0"/>
    <n v="0"/>
    <x v="0"/>
    <n v="0"/>
    <n v="0"/>
    <n v="0"/>
    <n v="0"/>
    <n v="73.099999999999994"/>
  </r>
  <r>
    <x v="659"/>
    <d v="2025-04-20T00:00:00"/>
    <x v="0"/>
    <s v="South"/>
    <x v="0"/>
    <x v="4"/>
    <x v="1"/>
    <n v="1"/>
    <n v="1"/>
    <n v="1"/>
    <x v="1"/>
    <n v="347.52"/>
    <n v="0"/>
    <n v="0"/>
    <n v="2"/>
    <n v="57.2"/>
  </r>
  <r>
    <x v="660"/>
    <d v="2025-01-07T00:00:00"/>
    <x v="0"/>
    <s v="South"/>
    <x v="1"/>
    <x v="2"/>
    <x v="1"/>
    <n v="1"/>
    <n v="0"/>
    <n v="0"/>
    <x v="0"/>
    <n v="0"/>
    <n v="0"/>
    <n v="0"/>
    <n v="0"/>
    <n v="67.900000000000006"/>
  </r>
  <r>
    <x v="661"/>
    <d v="2025-04-23T00:00:00"/>
    <x v="0"/>
    <s v="South"/>
    <x v="1"/>
    <x v="3"/>
    <x v="1"/>
    <n v="0"/>
    <n v="0"/>
    <n v="0"/>
    <x v="0"/>
    <n v="0"/>
    <n v="0"/>
    <n v="0"/>
    <n v="0"/>
    <n v="50.1"/>
  </r>
  <r>
    <x v="662"/>
    <d v="2025-05-26T00:00:00"/>
    <x v="0"/>
    <s v="North"/>
    <x v="1"/>
    <x v="2"/>
    <x v="0"/>
    <n v="0"/>
    <n v="0"/>
    <n v="0"/>
    <x v="0"/>
    <n v="0"/>
    <n v="0"/>
    <n v="0"/>
    <n v="0"/>
    <n v="67.8"/>
  </r>
  <r>
    <x v="663"/>
    <d v="2025-03-17T00:00:00"/>
    <x v="0"/>
    <s v="North"/>
    <x v="0"/>
    <x v="4"/>
    <x v="0"/>
    <n v="1"/>
    <n v="1"/>
    <n v="1"/>
    <x v="0"/>
    <n v="0"/>
    <n v="0"/>
    <n v="0"/>
    <n v="0"/>
    <n v="60.8"/>
  </r>
  <r>
    <x v="664"/>
    <d v="2025-05-17T00:00:00"/>
    <x v="0"/>
    <s v="North"/>
    <x v="0"/>
    <x v="2"/>
    <x v="0"/>
    <n v="1"/>
    <n v="0"/>
    <n v="0"/>
    <x v="0"/>
    <n v="0"/>
    <n v="3"/>
    <n v="0"/>
    <n v="0"/>
    <n v="33.700000000000003"/>
  </r>
  <r>
    <x v="665"/>
    <d v="2025-02-21T00:00:00"/>
    <x v="0"/>
    <s v="North"/>
    <x v="1"/>
    <x v="2"/>
    <x v="0"/>
    <n v="0"/>
    <n v="0"/>
    <n v="0"/>
    <x v="0"/>
    <n v="0"/>
    <n v="0"/>
    <n v="0"/>
    <n v="0"/>
    <n v="45.2"/>
  </r>
  <r>
    <x v="666"/>
    <d v="2025-02-25T00:00:00"/>
    <x v="0"/>
    <s v="East"/>
    <x v="0"/>
    <x v="2"/>
    <x v="2"/>
    <n v="0"/>
    <n v="0"/>
    <n v="0"/>
    <x v="0"/>
    <n v="0"/>
    <n v="0"/>
    <n v="0"/>
    <n v="0"/>
    <n v="48.2"/>
  </r>
  <r>
    <x v="667"/>
    <d v="2025-01-30T00:00:00"/>
    <x v="0"/>
    <s v="South"/>
    <x v="1"/>
    <x v="4"/>
    <x v="1"/>
    <n v="1"/>
    <n v="1"/>
    <n v="0"/>
    <x v="0"/>
    <n v="0"/>
    <n v="1"/>
    <n v="0"/>
    <n v="0"/>
    <n v="44.8"/>
  </r>
  <r>
    <x v="668"/>
    <d v="2025-02-17T00:00:00"/>
    <x v="0"/>
    <s v="North"/>
    <x v="2"/>
    <x v="4"/>
    <x v="0"/>
    <n v="0"/>
    <n v="0"/>
    <n v="0"/>
    <x v="0"/>
    <n v="0"/>
    <n v="0"/>
    <n v="0"/>
    <n v="0"/>
    <n v="52.1"/>
  </r>
  <r>
    <x v="669"/>
    <d v="2025-05-17T00:00:00"/>
    <x v="0"/>
    <s v="North"/>
    <x v="0"/>
    <x v="2"/>
    <x v="0"/>
    <n v="1"/>
    <n v="0"/>
    <n v="0"/>
    <x v="0"/>
    <n v="0"/>
    <n v="0"/>
    <n v="0"/>
    <n v="0"/>
    <n v="30.7"/>
  </r>
  <r>
    <x v="670"/>
    <d v="2025-04-30T00:00:00"/>
    <x v="0"/>
    <s v="East"/>
    <x v="0"/>
    <x v="2"/>
    <x v="1"/>
    <n v="1"/>
    <n v="0"/>
    <n v="0"/>
    <x v="0"/>
    <n v="0"/>
    <n v="0"/>
    <n v="0"/>
    <n v="0"/>
    <n v="58.4"/>
  </r>
  <r>
    <x v="671"/>
    <d v="2025-03-22T00:00:00"/>
    <x v="0"/>
    <s v="West"/>
    <x v="1"/>
    <x v="3"/>
    <x v="1"/>
    <n v="1"/>
    <n v="1"/>
    <n v="0"/>
    <x v="0"/>
    <n v="0"/>
    <n v="0"/>
    <n v="0"/>
    <n v="0"/>
    <n v="52.6"/>
  </r>
  <r>
    <x v="672"/>
    <d v="2025-01-10T00:00:00"/>
    <x v="0"/>
    <s v="West"/>
    <x v="3"/>
    <x v="2"/>
    <x v="1"/>
    <n v="1"/>
    <n v="0"/>
    <n v="0"/>
    <x v="0"/>
    <n v="0"/>
    <n v="1"/>
    <n v="0"/>
    <n v="0"/>
    <n v="19.100000000000001"/>
  </r>
  <r>
    <x v="673"/>
    <d v="2025-03-21T00:00:00"/>
    <x v="0"/>
    <s v="South"/>
    <x v="3"/>
    <x v="2"/>
    <x v="1"/>
    <n v="1"/>
    <n v="0"/>
    <n v="0"/>
    <x v="0"/>
    <n v="0"/>
    <n v="0"/>
    <n v="0"/>
    <n v="0"/>
    <n v="36.799999999999997"/>
  </r>
  <r>
    <x v="674"/>
    <d v="2025-05-12T00:00:00"/>
    <x v="0"/>
    <s v="North"/>
    <x v="0"/>
    <x v="2"/>
    <x v="0"/>
    <n v="0"/>
    <n v="0"/>
    <n v="0"/>
    <x v="0"/>
    <n v="0"/>
    <n v="0"/>
    <n v="0"/>
    <n v="0"/>
    <n v="68.5"/>
  </r>
  <r>
    <x v="675"/>
    <d v="2025-05-24T00:00:00"/>
    <x v="0"/>
    <s v="West"/>
    <x v="1"/>
    <x v="2"/>
    <x v="1"/>
    <n v="1"/>
    <n v="1"/>
    <n v="1"/>
    <x v="0"/>
    <n v="0"/>
    <n v="0"/>
    <n v="0"/>
    <n v="0"/>
    <n v="40.1"/>
  </r>
  <r>
    <x v="676"/>
    <d v="2025-05-03T00:00:00"/>
    <x v="0"/>
    <s v="West"/>
    <x v="2"/>
    <x v="1"/>
    <x v="1"/>
    <n v="1"/>
    <n v="0"/>
    <n v="0"/>
    <x v="0"/>
    <n v="0"/>
    <n v="0"/>
    <n v="0"/>
    <n v="0"/>
    <n v="47.5"/>
  </r>
  <r>
    <x v="677"/>
    <d v="2025-01-14T00:00:00"/>
    <x v="0"/>
    <s v="South"/>
    <x v="1"/>
    <x v="1"/>
    <x v="0"/>
    <n v="1"/>
    <n v="0"/>
    <n v="0"/>
    <x v="0"/>
    <n v="0"/>
    <n v="0"/>
    <n v="0"/>
    <n v="0"/>
    <n v="77.099999999999994"/>
  </r>
  <r>
    <x v="678"/>
    <d v="2025-03-27T00:00:00"/>
    <x v="0"/>
    <s v="West"/>
    <x v="1"/>
    <x v="4"/>
    <x v="0"/>
    <n v="1"/>
    <n v="0"/>
    <n v="0"/>
    <x v="0"/>
    <n v="0"/>
    <n v="0"/>
    <n v="0"/>
    <n v="0"/>
    <n v="75.900000000000006"/>
  </r>
  <r>
    <x v="679"/>
    <d v="2025-02-28T00:00:00"/>
    <x v="0"/>
    <s v="North"/>
    <x v="0"/>
    <x v="3"/>
    <x v="2"/>
    <n v="0"/>
    <n v="0"/>
    <n v="0"/>
    <x v="0"/>
    <n v="0"/>
    <n v="1"/>
    <n v="0"/>
    <n v="0"/>
    <n v="52"/>
  </r>
  <r>
    <x v="680"/>
    <d v="2025-05-12T00:00:00"/>
    <x v="0"/>
    <s v="West"/>
    <x v="0"/>
    <x v="3"/>
    <x v="2"/>
    <n v="1"/>
    <n v="1"/>
    <n v="1"/>
    <x v="0"/>
    <n v="0"/>
    <n v="0"/>
    <n v="0"/>
    <n v="0"/>
    <n v="64.900000000000006"/>
  </r>
  <r>
    <x v="681"/>
    <d v="2025-03-14T00:00:00"/>
    <x v="0"/>
    <s v="North"/>
    <x v="1"/>
    <x v="1"/>
    <x v="1"/>
    <n v="1"/>
    <n v="0"/>
    <n v="0"/>
    <x v="0"/>
    <n v="0"/>
    <n v="0"/>
    <n v="0"/>
    <n v="0"/>
    <n v="48.2"/>
  </r>
  <r>
    <x v="682"/>
    <d v="2025-05-20T00:00:00"/>
    <x v="0"/>
    <s v="East"/>
    <x v="1"/>
    <x v="1"/>
    <x v="0"/>
    <n v="0"/>
    <n v="0"/>
    <n v="0"/>
    <x v="0"/>
    <n v="0"/>
    <n v="0"/>
    <n v="0"/>
    <n v="0"/>
    <n v="42.1"/>
  </r>
  <r>
    <x v="683"/>
    <d v="2025-02-24T00:00:00"/>
    <x v="0"/>
    <s v="South"/>
    <x v="0"/>
    <x v="3"/>
    <x v="1"/>
    <n v="0"/>
    <n v="0"/>
    <n v="0"/>
    <x v="0"/>
    <n v="0"/>
    <n v="0"/>
    <n v="0"/>
    <n v="0"/>
    <n v="27.6"/>
  </r>
  <r>
    <x v="684"/>
    <d v="2025-02-13T00:00:00"/>
    <x v="0"/>
    <s v="West"/>
    <x v="1"/>
    <x v="1"/>
    <x v="2"/>
    <n v="1"/>
    <n v="0"/>
    <n v="0"/>
    <x v="0"/>
    <n v="0"/>
    <n v="1"/>
    <n v="0"/>
    <n v="0"/>
    <n v="68.5"/>
  </r>
  <r>
    <x v="685"/>
    <d v="2025-02-06T00:00:00"/>
    <x v="0"/>
    <s v="South"/>
    <x v="0"/>
    <x v="1"/>
    <x v="1"/>
    <n v="1"/>
    <n v="1"/>
    <n v="1"/>
    <x v="0"/>
    <n v="0"/>
    <n v="0"/>
    <n v="0"/>
    <n v="0"/>
    <n v="59.2"/>
  </r>
  <r>
    <x v="686"/>
    <d v="2025-03-02T00:00:00"/>
    <x v="0"/>
    <s v="North"/>
    <x v="1"/>
    <x v="4"/>
    <x v="0"/>
    <n v="1"/>
    <n v="0"/>
    <n v="0"/>
    <x v="0"/>
    <n v="0"/>
    <n v="0"/>
    <n v="0"/>
    <n v="0"/>
    <n v="63.3"/>
  </r>
  <r>
    <x v="687"/>
    <d v="2025-04-28T00:00:00"/>
    <x v="0"/>
    <s v="East"/>
    <x v="0"/>
    <x v="2"/>
    <x v="1"/>
    <n v="0"/>
    <n v="0"/>
    <n v="0"/>
    <x v="0"/>
    <n v="0"/>
    <n v="0"/>
    <n v="0"/>
    <n v="0"/>
    <n v="55"/>
  </r>
  <r>
    <x v="688"/>
    <d v="2025-05-27T00:00:00"/>
    <x v="0"/>
    <s v="North"/>
    <x v="0"/>
    <x v="5"/>
    <x v="2"/>
    <n v="1"/>
    <n v="0"/>
    <n v="0"/>
    <x v="0"/>
    <n v="0"/>
    <n v="0"/>
    <n v="0"/>
    <n v="0"/>
    <n v="64.8"/>
  </r>
  <r>
    <x v="689"/>
    <d v="2025-04-07T00:00:00"/>
    <x v="0"/>
    <s v="South"/>
    <x v="0"/>
    <x v="1"/>
    <x v="0"/>
    <n v="0"/>
    <n v="0"/>
    <n v="0"/>
    <x v="0"/>
    <n v="0"/>
    <n v="2"/>
    <n v="0"/>
    <n v="0"/>
    <n v="41.8"/>
  </r>
  <r>
    <x v="690"/>
    <d v="2025-04-14T00:00:00"/>
    <x v="1"/>
    <s v="East"/>
    <x v="0"/>
    <x v="4"/>
    <x v="0"/>
    <n v="1"/>
    <n v="0"/>
    <n v="0"/>
    <x v="0"/>
    <n v="0"/>
    <n v="0"/>
    <n v="0"/>
    <n v="0"/>
    <n v="73.2"/>
  </r>
  <r>
    <x v="691"/>
    <d v="2025-05-09T00:00:00"/>
    <x v="1"/>
    <s v="East"/>
    <x v="0"/>
    <x v="1"/>
    <x v="0"/>
    <n v="1"/>
    <n v="1"/>
    <n v="1"/>
    <x v="0"/>
    <n v="0"/>
    <n v="3"/>
    <n v="0"/>
    <n v="0"/>
    <n v="55.7"/>
  </r>
  <r>
    <x v="692"/>
    <d v="2025-03-21T00:00:00"/>
    <x v="1"/>
    <s v="North"/>
    <x v="1"/>
    <x v="1"/>
    <x v="1"/>
    <n v="1"/>
    <n v="1"/>
    <n v="1"/>
    <x v="0"/>
    <n v="0"/>
    <n v="0"/>
    <n v="0"/>
    <n v="0"/>
    <n v="82.8"/>
  </r>
  <r>
    <x v="693"/>
    <d v="2025-03-27T00:00:00"/>
    <x v="1"/>
    <s v="North"/>
    <x v="0"/>
    <x v="4"/>
    <x v="1"/>
    <n v="1"/>
    <n v="0"/>
    <n v="0"/>
    <x v="0"/>
    <n v="0"/>
    <n v="0"/>
    <n v="0"/>
    <n v="0"/>
    <n v="0"/>
  </r>
  <r>
    <x v="694"/>
    <d v="2025-01-21T00:00:00"/>
    <x v="1"/>
    <s v="South"/>
    <x v="1"/>
    <x v="2"/>
    <x v="1"/>
    <n v="0"/>
    <n v="0"/>
    <n v="0"/>
    <x v="0"/>
    <n v="0"/>
    <n v="0"/>
    <n v="0"/>
    <n v="0"/>
    <n v="34.4"/>
  </r>
  <r>
    <x v="695"/>
    <d v="2025-03-19T00:00:00"/>
    <x v="1"/>
    <s v="East"/>
    <x v="0"/>
    <x v="0"/>
    <x v="1"/>
    <n v="1"/>
    <n v="0"/>
    <n v="0"/>
    <x v="0"/>
    <n v="0"/>
    <n v="0"/>
    <n v="0"/>
    <n v="0"/>
    <n v="45.2"/>
  </r>
  <r>
    <x v="696"/>
    <d v="2025-05-27T00:00:00"/>
    <x v="1"/>
    <s v="North"/>
    <x v="1"/>
    <x v="1"/>
    <x v="0"/>
    <n v="1"/>
    <n v="0"/>
    <n v="0"/>
    <x v="0"/>
    <n v="0"/>
    <n v="0"/>
    <n v="0"/>
    <n v="0"/>
    <n v="71.599999999999994"/>
  </r>
  <r>
    <x v="697"/>
    <d v="2025-01-01T00:00:00"/>
    <x v="1"/>
    <s v="North"/>
    <x v="1"/>
    <x v="4"/>
    <x v="1"/>
    <n v="1"/>
    <n v="1"/>
    <n v="1"/>
    <x v="0"/>
    <n v="0"/>
    <n v="0"/>
    <n v="0"/>
    <n v="0"/>
    <n v="69.099999999999994"/>
  </r>
  <r>
    <x v="698"/>
    <d v="2025-03-29T00:00:00"/>
    <x v="1"/>
    <s v="West"/>
    <x v="0"/>
    <x v="2"/>
    <x v="2"/>
    <n v="1"/>
    <n v="0"/>
    <n v="0"/>
    <x v="0"/>
    <n v="0"/>
    <n v="1"/>
    <n v="0"/>
    <n v="0"/>
    <n v="37.700000000000003"/>
  </r>
  <r>
    <x v="699"/>
    <d v="2025-03-17T00:00:00"/>
    <x v="1"/>
    <s v="West"/>
    <x v="0"/>
    <x v="1"/>
    <x v="0"/>
    <n v="1"/>
    <n v="0"/>
    <n v="0"/>
    <x v="0"/>
    <n v="0"/>
    <n v="1"/>
    <n v="0"/>
    <n v="0"/>
    <n v="60.8"/>
  </r>
  <r>
    <x v="700"/>
    <d v="2025-05-05T00:00:00"/>
    <x v="1"/>
    <s v="North"/>
    <x v="1"/>
    <x v="1"/>
    <x v="1"/>
    <n v="1"/>
    <n v="1"/>
    <n v="1"/>
    <x v="1"/>
    <n v="444.13"/>
    <n v="0"/>
    <n v="0"/>
    <n v="10"/>
    <n v="80.7"/>
  </r>
  <r>
    <x v="701"/>
    <d v="2025-05-04T00:00:00"/>
    <x v="1"/>
    <s v="South"/>
    <x v="1"/>
    <x v="4"/>
    <x v="1"/>
    <n v="1"/>
    <n v="0"/>
    <n v="0"/>
    <x v="0"/>
    <n v="0"/>
    <n v="0"/>
    <n v="0"/>
    <n v="0"/>
    <n v="69.2"/>
  </r>
  <r>
    <x v="702"/>
    <d v="2025-03-25T00:00:00"/>
    <x v="1"/>
    <s v="North"/>
    <x v="1"/>
    <x v="4"/>
    <x v="2"/>
    <n v="0"/>
    <n v="0"/>
    <n v="0"/>
    <x v="0"/>
    <n v="0"/>
    <n v="3"/>
    <n v="0"/>
    <n v="0"/>
    <n v="55"/>
  </r>
  <r>
    <x v="703"/>
    <d v="2025-04-17T00:00:00"/>
    <x v="1"/>
    <s v="West"/>
    <x v="1"/>
    <x v="0"/>
    <x v="1"/>
    <n v="0"/>
    <n v="0"/>
    <n v="0"/>
    <x v="0"/>
    <n v="0"/>
    <n v="1"/>
    <n v="0"/>
    <n v="0"/>
    <n v="73.599999999999994"/>
  </r>
  <r>
    <x v="704"/>
    <d v="2025-05-23T00:00:00"/>
    <x v="1"/>
    <s v="South"/>
    <x v="1"/>
    <x v="3"/>
    <x v="0"/>
    <n v="1"/>
    <n v="1"/>
    <n v="1"/>
    <x v="0"/>
    <n v="0"/>
    <n v="1"/>
    <n v="0"/>
    <n v="0"/>
    <n v="47.3"/>
  </r>
  <r>
    <x v="705"/>
    <d v="2025-01-13T00:00:00"/>
    <x v="1"/>
    <s v="North"/>
    <x v="1"/>
    <x v="1"/>
    <x v="0"/>
    <n v="0"/>
    <n v="0"/>
    <n v="0"/>
    <x v="0"/>
    <n v="0"/>
    <n v="0"/>
    <n v="0"/>
    <n v="0"/>
    <n v="43.6"/>
  </r>
  <r>
    <x v="706"/>
    <d v="2025-01-29T00:00:00"/>
    <x v="1"/>
    <s v="North"/>
    <x v="0"/>
    <x v="1"/>
    <x v="0"/>
    <n v="1"/>
    <n v="0"/>
    <n v="0"/>
    <x v="0"/>
    <n v="0"/>
    <n v="0"/>
    <n v="0"/>
    <n v="0"/>
    <n v="0"/>
  </r>
  <r>
    <x v="707"/>
    <d v="2025-05-11T00:00:00"/>
    <x v="1"/>
    <s v="South"/>
    <x v="1"/>
    <x v="0"/>
    <x v="1"/>
    <n v="0"/>
    <n v="0"/>
    <n v="0"/>
    <x v="0"/>
    <n v="0"/>
    <n v="0"/>
    <n v="0"/>
    <n v="0"/>
    <n v="55.2"/>
  </r>
  <r>
    <x v="708"/>
    <d v="2025-04-22T00:00:00"/>
    <x v="1"/>
    <s v="South"/>
    <x v="1"/>
    <x v="1"/>
    <x v="0"/>
    <n v="1"/>
    <n v="0"/>
    <n v="0"/>
    <x v="0"/>
    <n v="0"/>
    <n v="0"/>
    <n v="0"/>
    <n v="0"/>
    <n v="49.4"/>
  </r>
  <r>
    <x v="709"/>
    <d v="2025-03-03T00:00:00"/>
    <x v="1"/>
    <s v="South"/>
    <x v="1"/>
    <x v="4"/>
    <x v="1"/>
    <n v="1"/>
    <n v="1"/>
    <n v="1"/>
    <x v="0"/>
    <n v="0"/>
    <n v="1"/>
    <n v="0"/>
    <n v="0"/>
    <n v="60.1"/>
  </r>
  <r>
    <x v="710"/>
    <d v="2025-03-18T00:00:00"/>
    <x v="1"/>
    <s v="North"/>
    <x v="1"/>
    <x v="3"/>
    <x v="1"/>
    <n v="1"/>
    <n v="0"/>
    <n v="0"/>
    <x v="0"/>
    <n v="0"/>
    <n v="0"/>
    <n v="0"/>
    <n v="0"/>
    <n v="55.9"/>
  </r>
  <r>
    <x v="711"/>
    <d v="2025-04-05T00:00:00"/>
    <x v="1"/>
    <s v="North"/>
    <x v="1"/>
    <x v="1"/>
    <x v="0"/>
    <n v="1"/>
    <n v="0"/>
    <n v="0"/>
    <x v="0"/>
    <n v="0"/>
    <n v="0"/>
    <n v="0"/>
    <n v="0"/>
    <n v="51.5"/>
  </r>
  <r>
    <x v="712"/>
    <d v="2025-04-16T00:00:00"/>
    <x v="1"/>
    <s v="East"/>
    <x v="1"/>
    <x v="1"/>
    <x v="1"/>
    <n v="1"/>
    <n v="1"/>
    <n v="1"/>
    <x v="1"/>
    <n v="516.66999999999996"/>
    <n v="0"/>
    <n v="0"/>
    <n v="11"/>
    <n v="57.9"/>
  </r>
  <r>
    <x v="713"/>
    <d v="2025-04-20T00:00:00"/>
    <x v="1"/>
    <s v="South"/>
    <x v="1"/>
    <x v="3"/>
    <x v="1"/>
    <n v="1"/>
    <n v="1"/>
    <n v="1"/>
    <x v="1"/>
    <n v="277.18"/>
    <n v="2"/>
    <n v="0"/>
    <n v="8"/>
    <n v="59.2"/>
  </r>
  <r>
    <x v="714"/>
    <d v="2025-02-15T00:00:00"/>
    <x v="1"/>
    <s v="South"/>
    <x v="1"/>
    <x v="1"/>
    <x v="1"/>
    <n v="0"/>
    <n v="0"/>
    <n v="0"/>
    <x v="0"/>
    <n v="0"/>
    <n v="0"/>
    <n v="0"/>
    <n v="0"/>
    <n v="64.2"/>
  </r>
  <r>
    <x v="715"/>
    <d v="2025-01-21T00:00:00"/>
    <x v="1"/>
    <s v="South"/>
    <x v="1"/>
    <x v="1"/>
    <x v="1"/>
    <n v="1"/>
    <n v="0"/>
    <n v="0"/>
    <x v="0"/>
    <n v="0"/>
    <n v="0"/>
    <n v="0"/>
    <n v="0"/>
    <n v="68.8"/>
  </r>
  <r>
    <x v="716"/>
    <d v="2025-05-23T00:00:00"/>
    <x v="1"/>
    <s v="North"/>
    <x v="1"/>
    <x v="2"/>
    <x v="2"/>
    <n v="1"/>
    <n v="1"/>
    <n v="1"/>
    <x v="0"/>
    <n v="0"/>
    <n v="0"/>
    <n v="0"/>
    <n v="0"/>
    <n v="77.900000000000006"/>
  </r>
  <r>
    <x v="717"/>
    <d v="2025-01-22T00:00:00"/>
    <x v="1"/>
    <s v="West"/>
    <x v="1"/>
    <x v="2"/>
    <x v="0"/>
    <n v="0"/>
    <n v="0"/>
    <n v="0"/>
    <x v="0"/>
    <n v="0"/>
    <n v="0"/>
    <n v="0"/>
    <n v="0"/>
    <n v="92.1"/>
  </r>
  <r>
    <x v="718"/>
    <d v="2025-04-24T00:00:00"/>
    <x v="1"/>
    <s v="West"/>
    <x v="1"/>
    <x v="2"/>
    <x v="2"/>
    <n v="0"/>
    <n v="0"/>
    <n v="0"/>
    <x v="0"/>
    <n v="0"/>
    <n v="0"/>
    <n v="0"/>
    <n v="0"/>
    <n v="63.6"/>
  </r>
  <r>
    <x v="719"/>
    <d v="2025-01-17T00:00:00"/>
    <x v="1"/>
    <s v="West"/>
    <x v="0"/>
    <x v="0"/>
    <x v="1"/>
    <n v="0"/>
    <n v="0"/>
    <n v="0"/>
    <x v="0"/>
    <n v="0"/>
    <n v="2"/>
    <n v="0"/>
    <n v="0"/>
    <n v="61.6"/>
  </r>
  <r>
    <x v="720"/>
    <d v="2025-01-22T00:00:00"/>
    <x v="1"/>
    <s v="East"/>
    <x v="1"/>
    <x v="3"/>
    <x v="0"/>
    <n v="1"/>
    <n v="1"/>
    <n v="0"/>
    <x v="0"/>
    <n v="0"/>
    <n v="0"/>
    <n v="0"/>
    <n v="0"/>
    <n v="82.3"/>
  </r>
  <r>
    <x v="721"/>
    <d v="2025-05-04T00:00:00"/>
    <x v="1"/>
    <s v="East"/>
    <x v="0"/>
    <x v="2"/>
    <x v="1"/>
    <n v="1"/>
    <n v="0"/>
    <n v="0"/>
    <x v="0"/>
    <n v="0"/>
    <n v="0"/>
    <n v="0"/>
    <n v="0"/>
    <n v="79.3"/>
  </r>
  <r>
    <x v="722"/>
    <d v="2025-03-13T00:00:00"/>
    <x v="1"/>
    <s v="South"/>
    <x v="1"/>
    <x v="5"/>
    <x v="1"/>
    <n v="0"/>
    <n v="0"/>
    <n v="0"/>
    <x v="0"/>
    <n v="0"/>
    <n v="0"/>
    <n v="0"/>
    <n v="0"/>
    <n v="57.7"/>
  </r>
  <r>
    <x v="723"/>
    <d v="2025-01-02T00:00:00"/>
    <x v="1"/>
    <s v="North"/>
    <x v="1"/>
    <x v="1"/>
    <x v="0"/>
    <n v="1"/>
    <n v="0"/>
    <n v="0"/>
    <x v="0"/>
    <n v="0"/>
    <n v="0"/>
    <n v="0"/>
    <n v="0"/>
    <n v="63.1"/>
  </r>
  <r>
    <x v="724"/>
    <d v="2025-01-13T00:00:00"/>
    <x v="1"/>
    <s v="East"/>
    <x v="1"/>
    <x v="2"/>
    <x v="0"/>
    <n v="0"/>
    <n v="0"/>
    <n v="0"/>
    <x v="0"/>
    <n v="0"/>
    <n v="0"/>
    <n v="0"/>
    <n v="0"/>
    <n v="72.3"/>
  </r>
  <r>
    <x v="725"/>
    <d v="2025-02-09T00:00:00"/>
    <x v="1"/>
    <s v="East"/>
    <x v="1"/>
    <x v="4"/>
    <x v="1"/>
    <n v="1"/>
    <n v="1"/>
    <n v="1"/>
    <x v="0"/>
    <n v="0"/>
    <n v="0"/>
    <n v="0"/>
    <n v="0"/>
    <n v="78"/>
  </r>
  <r>
    <x v="726"/>
    <d v="2025-04-09T00:00:00"/>
    <x v="1"/>
    <s v="East"/>
    <x v="0"/>
    <x v="4"/>
    <x v="1"/>
    <n v="1"/>
    <n v="1"/>
    <n v="0"/>
    <x v="0"/>
    <n v="0"/>
    <n v="2"/>
    <n v="0"/>
    <n v="0"/>
    <n v="59.1"/>
  </r>
  <r>
    <x v="727"/>
    <d v="2025-01-02T00:00:00"/>
    <x v="1"/>
    <s v="South"/>
    <x v="1"/>
    <x v="2"/>
    <x v="1"/>
    <n v="1"/>
    <n v="1"/>
    <n v="1"/>
    <x v="1"/>
    <n v="604.09"/>
    <n v="0"/>
    <n v="0"/>
    <n v="7"/>
    <n v="47.1"/>
  </r>
  <r>
    <x v="728"/>
    <d v="2025-02-04T00:00:00"/>
    <x v="1"/>
    <s v="South"/>
    <x v="1"/>
    <x v="5"/>
    <x v="2"/>
    <n v="1"/>
    <n v="0"/>
    <n v="0"/>
    <x v="0"/>
    <n v="0"/>
    <n v="0"/>
    <n v="0"/>
    <n v="0"/>
    <n v="64.900000000000006"/>
  </r>
  <r>
    <x v="729"/>
    <d v="2025-02-19T00:00:00"/>
    <x v="1"/>
    <s v="South"/>
    <x v="2"/>
    <x v="2"/>
    <x v="1"/>
    <n v="0"/>
    <n v="0"/>
    <n v="0"/>
    <x v="0"/>
    <n v="0"/>
    <n v="0"/>
    <n v="0"/>
    <n v="0"/>
    <n v="67.3"/>
  </r>
  <r>
    <x v="730"/>
    <d v="2025-04-01T00:00:00"/>
    <x v="1"/>
    <s v="East"/>
    <x v="1"/>
    <x v="2"/>
    <x v="0"/>
    <n v="1"/>
    <n v="0"/>
    <n v="0"/>
    <x v="0"/>
    <n v="0"/>
    <n v="2"/>
    <n v="0"/>
    <n v="0"/>
    <n v="52.9"/>
  </r>
  <r>
    <x v="731"/>
    <d v="2025-01-29T00:00:00"/>
    <x v="1"/>
    <s v="North"/>
    <x v="1"/>
    <x v="3"/>
    <x v="1"/>
    <n v="1"/>
    <n v="1"/>
    <n v="1"/>
    <x v="1"/>
    <n v="442.37"/>
    <n v="1"/>
    <n v="0"/>
    <n v="4"/>
    <n v="69.900000000000006"/>
  </r>
  <r>
    <x v="732"/>
    <d v="2025-05-18T00:00:00"/>
    <x v="1"/>
    <s v="North"/>
    <x v="1"/>
    <x v="3"/>
    <x v="0"/>
    <n v="1"/>
    <n v="1"/>
    <n v="1"/>
    <x v="0"/>
    <n v="0"/>
    <n v="0"/>
    <n v="0"/>
    <n v="0"/>
    <n v="78.900000000000006"/>
  </r>
  <r>
    <x v="733"/>
    <d v="2025-04-15T00:00:00"/>
    <x v="1"/>
    <s v="East"/>
    <x v="0"/>
    <x v="4"/>
    <x v="2"/>
    <n v="1"/>
    <n v="1"/>
    <n v="0"/>
    <x v="0"/>
    <n v="0"/>
    <n v="0"/>
    <n v="0"/>
    <n v="0"/>
    <n v="83.3"/>
  </r>
  <r>
    <x v="734"/>
    <d v="2025-03-28T00:00:00"/>
    <x v="1"/>
    <s v="East"/>
    <x v="0"/>
    <x v="0"/>
    <x v="1"/>
    <n v="1"/>
    <n v="0"/>
    <n v="0"/>
    <x v="0"/>
    <n v="0"/>
    <n v="1"/>
    <n v="0"/>
    <n v="0"/>
    <n v="24.5"/>
  </r>
  <r>
    <x v="735"/>
    <d v="2025-04-01T00:00:00"/>
    <x v="1"/>
    <s v="West"/>
    <x v="1"/>
    <x v="2"/>
    <x v="0"/>
    <n v="1"/>
    <n v="1"/>
    <n v="0"/>
    <x v="0"/>
    <n v="0"/>
    <n v="1"/>
    <n v="0"/>
    <n v="0"/>
    <n v="56.9"/>
  </r>
  <r>
    <x v="736"/>
    <d v="2025-02-11T00:00:00"/>
    <x v="1"/>
    <s v="West"/>
    <x v="1"/>
    <x v="4"/>
    <x v="0"/>
    <n v="1"/>
    <n v="0"/>
    <n v="0"/>
    <x v="0"/>
    <n v="0"/>
    <n v="0"/>
    <n v="0"/>
    <n v="0"/>
    <n v="69.900000000000006"/>
  </r>
  <r>
    <x v="737"/>
    <d v="2025-03-04T00:00:00"/>
    <x v="1"/>
    <s v="South"/>
    <x v="1"/>
    <x v="1"/>
    <x v="1"/>
    <n v="1"/>
    <n v="1"/>
    <n v="1"/>
    <x v="0"/>
    <n v="0"/>
    <n v="0"/>
    <n v="0"/>
    <n v="0"/>
    <n v="81.5"/>
  </r>
  <r>
    <x v="738"/>
    <d v="2025-01-21T00:00:00"/>
    <x v="1"/>
    <s v="North"/>
    <x v="2"/>
    <x v="4"/>
    <x v="0"/>
    <n v="0"/>
    <n v="0"/>
    <n v="0"/>
    <x v="0"/>
    <n v="0"/>
    <n v="2"/>
    <n v="0"/>
    <n v="0"/>
    <n v="37.9"/>
  </r>
  <r>
    <x v="739"/>
    <d v="2025-02-14T00:00:00"/>
    <x v="1"/>
    <s v="North"/>
    <x v="1"/>
    <x v="3"/>
    <x v="1"/>
    <n v="0"/>
    <n v="0"/>
    <n v="0"/>
    <x v="0"/>
    <n v="0"/>
    <n v="1"/>
    <n v="0"/>
    <n v="0"/>
    <n v="61.7"/>
  </r>
  <r>
    <x v="740"/>
    <d v="2025-03-30T00:00:00"/>
    <x v="1"/>
    <s v="North"/>
    <x v="0"/>
    <x v="5"/>
    <x v="2"/>
    <n v="1"/>
    <n v="0"/>
    <n v="0"/>
    <x v="0"/>
    <n v="0"/>
    <n v="2"/>
    <n v="0"/>
    <n v="0"/>
    <n v="53.2"/>
  </r>
  <r>
    <x v="741"/>
    <d v="2025-01-08T00:00:00"/>
    <x v="1"/>
    <s v="North"/>
    <x v="1"/>
    <x v="3"/>
    <x v="1"/>
    <n v="0"/>
    <n v="0"/>
    <n v="0"/>
    <x v="0"/>
    <n v="0"/>
    <n v="0"/>
    <n v="0"/>
    <n v="0"/>
    <n v="61.9"/>
  </r>
  <r>
    <x v="742"/>
    <d v="2025-02-07T00:00:00"/>
    <x v="1"/>
    <s v="North"/>
    <x v="1"/>
    <x v="4"/>
    <x v="1"/>
    <n v="1"/>
    <n v="1"/>
    <n v="1"/>
    <x v="0"/>
    <n v="0"/>
    <n v="0"/>
    <n v="0"/>
    <n v="0"/>
    <n v="68.900000000000006"/>
  </r>
  <r>
    <x v="743"/>
    <d v="2025-02-01T00:00:00"/>
    <x v="1"/>
    <s v="North"/>
    <x v="2"/>
    <x v="2"/>
    <x v="0"/>
    <n v="0"/>
    <n v="0"/>
    <n v="0"/>
    <x v="0"/>
    <n v="0"/>
    <n v="0"/>
    <n v="0"/>
    <n v="0"/>
    <n v="66.3"/>
  </r>
  <r>
    <x v="744"/>
    <d v="2025-01-04T00:00:00"/>
    <x v="1"/>
    <s v="East"/>
    <x v="1"/>
    <x v="0"/>
    <x v="1"/>
    <n v="1"/>
    <n v="1"/>
    <n v="1"/>
    <x v="0"/>
    <n v="0"/>
    <n v="0"/>
    <n v="0"/>
    <n v="0"/>
    <n v="54.6"/>
  </r>
  <r>
    <x v="745"/>
    <d v="2025-05-16T00:00:00"/>
    <x v="1"/>
    <s v="South"/>
    <x v="0"/>
    <x v="3"/>
    <x v="1"/>
    <n v="0"/>
    <n v="0"/>
    <n v="0"/>
    <x v="0"/>
    <n v="0"/>
    <n v="0"/>
    <n v="0"/>
    <n v="0"/>
    <n v="53.8"/>
  </r>
  <r>
    <x v="746"/>
    <d v="2025-02-28T00:00:00"/>
    <x v="1"/>
    <s v="West"/>
    <x v="1"/>
    <x v="3"/>
    <x v="1"/>
    <n v="1"/>
    <n v="0"/>
    <n v="0"/>
    <x v="0"/>
    <n v="0"/>
    <n v="0"/>
    <n v="0"/>
    <n v="0"/>
    <n v="59.5"/>
  </r>
  <r>
    <x v="747"/>
    <d v="2025-04-12T00:00:00"/>
    <x v="1"/>
    <s v="North"/>
    <x v="1"/>
    <x v="3"/>
    <x v="1"/>
    <n v="1"/>
    <n v="0"/>
    <n v="0"/>
    <x v="0"/>
    <n v="0"/>
    <n v="0"/>
    <n v="0"/>
    <n v="0"/>
    <n v="52.6"/>
  </r>
  <r>
    <x v="748"/>
    <d v="2025-03-23T00:00:00"/>
    <x v="1"/>
    <s v="South"/>
    <x v="0"/>
    <x v="1"/>
    <x v="1"/>
    <n v="0"/>
    <n v="0"/>
    <n v="0"/>
    <x v="0"/>
    <n v="0"/>
    <n v="0"/>
    <n v="0"/>
    <n v="0"/>
    <n v="49"/>
  </r>
  <r>
    <x v="749"/>
    <d v="2025-05-29T00:00:00"/>
    <x v="1"/>
    <s v="North"/>
    <x v="2"/>
    <x v="1"/>
    <x v="1"/>
    <n v="1"/>
    <n v="0"/>
    <n v="0"/>
    <x v="0"/>
    <n v="0"/>
    <n v="0"/>
    <n v="0"/>
    <n v="0"/>
    <n v="59.3"/>
  </r>
  <r>
    <x v="750"/>
    <d v="2025-05-21T00:00:00"/>
    <x v="1"/>
    <s v="South"/>
    <x v="0"/>
    <x v="1"/>
    <x v="0"/>
    <n v="0"/>
    <n v="0"/>
    <n v="0"/>
    <x v="0"/>
    <n v="0"/>
    <n v="0"/>
    <n v="0"/>
    <n v="0"/>
    <n v="67.2"/>
  </r>
  <r>
    <x v="751"/>
    <d v="2025-01-05T00:00:00"/>
    <x v="1"/>
    <s v="South"/>
    <x v="1"/>
    <x v="3"/>
    <x v="2"/>
    <n v="0"/>
    <n v="0"/>
    <n v="0"/>
    <x v="0"/>
    <n v="0"/>
    <n v="0"/>
    <n v="0"/>
    <n v="0"/>
    <n v="73.5"/>
  </r>
  <r>
    <x v="752"/>
    <d v="2025-03-19T00:00:00"/>
    <x v="1"/>
    <s v="East"/>
    <x v="2"/>
    <x v="1"/>
    <x v="1"/>
    <n v="1"/>
    <n v="0"/>
    <n v="0"/>
    <x v="0"/>
    <n v="0"/>
    <n v="0"/>
    <n v="0"/>
    <n v="0"/>
    <n v="61.2"/>
  </r>
  <r>
    <x v="753"/>
    <d v="2025-04-24T00:00:00"/>
    <x v="1"/>
    <s v="East"/>
    <x v="1"/>
    <x v="1"/>
    <x v="1"/>
    <n v="1"/>
    <n v="0"/>
    <n v="0"/>
    <x v="0"/>
    <n v="0"/>
    <n v="1"/>
    <n v="0"/>
    <n v="0"/>
    <n v="56.4"/>
  </r>
  <r>
    <x v="754"/>
    <d v="2025-03-10T00:00:00"/>
    <x v="1"/>
    <s v="North"/>
    <x v="2"/>
    <x v="1"/>
    <x v="1"/>
    <n v="0"/>
    <n v="0"/>
    <n v="0"/>
    <x v="0"/>
    <n v="0"/>
    <n v="3"/>
    <n v="0"/>
    <n v="0"/>
    <n v="72.599999999999994"/>
  </r>
  <r>
    <x v="755"/>
    <d v="2025-02-22T00:00:00"/>
    <x v="1"/>
    <s v="South"/>
    <x v="2"/>
    <x v="3"/>
    <x v="0"/>
    <n v="1"/>
    <n v="0"/>
    <n v="0"/>
    <x v="0"/>
    <n v="0"/>
    <n v="0"/>
    <n v="0"/>
    <n v="0"/>
    <n v="61.7"/>
  </r>
  <r>
    <x v="756"/>
    <d v="2025-05-17T00:00:00"/>
    <x v="1"/>
    <s v="East"/>
    <x v="1"/>
    <x v="4"/>
    <x v="1"/>
    <n v="0"/>
    <n v="0"/>
    <n v="0"/>
    <x v="0"/>
    <n v="0"/>
    <n v="1"/>
    <n v="0"/>
    <n v="0"/>
    <n v="66.900000000000006"/>
  </r>
  <r>
    <x v="757"/>
    <d v="2025-05-09T00:00:00"/>
    <x v="1"/>
    <s v="East"/>
    <x v="2"/>
    <x v="3"/>
    <x v="2"/>
    <n v="1"/>
    <n v="1"/>
    <n v="1"/>
    <x v="1"/>
    <n v="1506.24"/>
    <n v="1"/>
    <n v="0"/>
    <n v="7"/>
    <n v="64.900000000000006"/>
  </r>
  <r>
    <x v="758"/>
    <d v="2025-04-26T00:00:00"/>
    <x v="1"/>
    <s v="East"/>
    <x v="2"/>
    <x v="1"/>
    <x v="2"/>
    <n v="1"/>
    <n v="0"/>
    <n v="0"/>
    <x v="0"/>
    <n v="0"/>
    <n v="0"/>
    <n v="0"/>
    <n v="0"/>
    <n v="57.5"/>
  </r>
  <r>
    <x v="759"/>
    <d v="2025-03-15T00:00:00"/>
    <x v="1"/>
    <s v="West"/>
    <x v="0"/>
    <x v="4"/>
    <x v="1"/>
    <n v="1"/>
    <n v="1"/>
    <n v="1"/>
    <x v="0"/>
    <n v="0"/>
    <n v="0"/>
    <n v="0"/>
    <n v="0"/>
    <n v="76.3"/>
  </r>
  <r>
    <x v="760"/>
    <d v="2025-04-03T00:00:00"/>
    <x v="1"/>
    <s v="North"/>
    <x v="1"/>
    <x v="2"/>
    <x v="1"/>
    <n v="0"/>
    <n v="0"/>
    <n v="0"/>
    <x v="0"/>
    <n v="0"/>
    <n v="0"/>
    <n v="0"/>
    <n v="0"/>
    <n v="47.5"/>
  </r>
  <r>
    <x v="761"/>
    <d v="2025-03-26T00:00:00"/>
    <x v="1"/>
    <s v="South"/>
    <x v="1"/>
    <x v="2"/>
    <x v="1"/>
    <n v="0"/>
    <n v="0"/>
    <n v="0"/>
    <x v="0"/>
    <n v="0"/>
    <n v="0"/>
    <n v="0"/>
    <n v="0"/>
    <n v="0"/>
  </r>
  <r>
    <x v="762"/>
    <d v="2025-02-05T00:00:00"/>
    <x v="1"/>
    <s v="West"/>
    <x v="0"/>
    <x v="1"/>
    <x v="0"/>
    <n v="1"/>
    <n v="1"/>
    <n v="0"/>
    <x v="0"/>
    <n v="0"/>
    <n v="2"/>
    <n v="0"/>
    <n v="0"/>
    <n v="71.599999999999994"/>
  </r>
  <r>
    <x v="763"/>
    <d v="2025-05-08T00:00:00"/>
    <x v="1"/>
    <s v="South"/>
    <x v="1"/>
    <x v="4"/>
    <x v="0"/>
    <n v="1"/>
    <n v="1"/>
    <n v="0"/>
    <x v="0"/>
    <n v="0"/>
    <n v="0"/>
    <n v="0"/>
    <n v="0"/>
    <n v="55.8"/>
  </r>
  <r>
    <x v="764"/>
    <d v="2025-03-25T00:00:00"/>
    <x v="1"/>
    <s v="South"/>
    <x v="0"/>
    <x v="1"/>
    <x v="0"/>
    <n v="0"/>
    <n v="0"/>
    <n v="0"/>
    <x v="0"/>
    <n v="0"/>
    <n v="1"/>
    <n v="0"/>
    <n v="0"/>
    <n v="60.1"/>
  </r>
  <r>
    <x v="765"/>
    <d v="2025-01-14T00:00:00"/>
    <x v="1"/>
    <s v="West"/>
    <x v="3"/>
    <x v="0"/>
    <x v="0"/>
    <n v="1"/>
    <n v="1"/>
    <n v="1"/>
    <x v="0"/>
    <n v="0"/>
    <n v="1"/>
    <n v="0"/>
    <n v="0"/>
    <n v="59.3"/>
  </r>
  <r>
    <x v="766"/>
    <d v="2025-03-26T00:00:00"/>
    <x v="1"/>
    <s v="North"/>
    <x v="1"/>
    <x v="1"/>
    <x v="1"/>
    <n v="1"/>
    <n v="1"/>
    <n v="0"/>
    <x v="0"/>
    <n v="0"/>
    <n v="2"/>
    <n v="0"/>
    <n v="0"/>
    <n v="49.3"/>
  </r>
  <r>
    <x v="767"/>
    <d v="2025-01-16T00:00:00"/>
    <x v="1"/>
    <s v="East"/>
    <x v="1"/>
    <x v="3"/>
    <x v="1"/>
    <n v="1"/>
    <n v="0"/>
    <n v="0"/>
    <x v="0"/>
    <n v="0"/>
    <n v="0"/>
    <n v="0"/>
    <n v="0"/>
    <n v="75"/>
  </r>
  <r>
    <x v="768"/>
    <d v="2025-01-04T00:00:00"/>
    <x v="1"/>
    <s v="East"/>
    <x v="1"/>
    <x v="4"/>
    <x v="1"/>
    <n v="1"/>
    <n v="0"/>
    <n v="0"/>
    <x v="0"/>
    <n v="0"/>
    <n v="0"/>
    <n v="0"/>
    <n v="0"/>
    <n v="70.2"/>
  </r>
  <r>
    <x v="769"/>
    <d v="2025-02-09T00:00:00"/>
    <x v="1"/>
    <s v="South"/>
    <x v="0"/>
    <x v="1"/>
    <x v="2"/>
    <n v="1"/>
    <n v="1"/>
    <n v="1"/>
    <x v="0"/>
    <n v="0"/>
    <n v="0"/>
    <n v="0"/>
    <n v="0"/>
    <n v="56.6"/>
  </r>
  <r>
    <x v="770"/>
    <d v="2025-03-05T00:00:00"/>
    <x v="1"/>
    <s v="East"/>
    <x v="0"/>
    <x v="1"/>
    <x v="1"/>
    <n v="1"/>
    <n v="0"/>
    <n v="0"/>
    <x v="0"/>
    <n v="0"/>
    <n v="0"/>
    <n v="0"/>
    <n v="0"/>
    <n v="65.400000000000006"/>
  </r>
  <r>
    <x v="771"/>
    <d v="2025-03-10T00:00:00"/>
    <x v="1"/>
    <s v="East"/>
    <x v="1"/>
    <x v="3"/>
    <x v="0"/>
    <n v="1"/>
    <n v="0"/>
    <n v="0"/>
    <x v="0"/>
    <n v="0"/>
    <n v="0"/>
    <n v="0"/>
    <n v="0"/>
    <n v="47.6"/>
  </r>
  <r>
    <x v="772"/>
    <d v="2025-02-27T00:00:00"/>
    <x v="1"/>
    <s v="East"/>
    <x v="0"/>
    <x v="2"/>
    <x v="1"/>
    <n v="1"/>
    <n v="0"/>
    <n v="0"/>
    <x v="0"/>
    <n v="0"/>
    <n v="0"/>
    <n v="0"/>
    <n v="0"/>
    <n v="56.7"/>
  </r>
  <r>
    <x v="773"/>
    <d v="2025-03-10T00:00:00"/>
    <x v="1"/>
    <s v="North"/>
    <x v="0"/>
    <x v="3"/>
    <x v="0"/>
    <n v="1"/>
    <n v="1"/>
    <n v="0"/>
    <x v="0"/>
    <n v="0"/>
    <n v="0"/>
    <n v="0"/>
    <n v="0"/>
    <n v="71.400000000000006"/>
  </r>
  <r>
    <x v="774"/>
    <d v="2025-04-23T00:00:00"/>
    <x v="1"/>
    <s v="West"/>
    <x v="1"/>
    <x v="4"/>
    <x v="1"/>
    <n v="0"/>
    <n v="0"/>
    <n v="0"/>
    <x v="0"/>
    <n v="0"/>
    <n v="2"/>
    <n v="0"/>
    <n v="0"/>
    <n v="60.5"/>
  </r>
  <r>
    <x v="775"/>
    <d v="2025-04-12T00:00:00"/>
    <x v="1"/>
    <s v="North"/>
    <x v="0"/>
    <x v="2"/>
    <x v="1"/>
    <n v="1"/>
    <n v="0"/>
    <n v="0"/>
    <x v="0"/>
    <n v="0"/>
    <n v="0"/>
    <n v="0"/>
    <n v="0"/>
    <n v="46.7"/>
  </r>
  <r>
    <x v="776"/>
    <d v="2025-01-26T00:00:00"/>
    <x v="1"/>
    <s v="East"/>
    <x v="0"/>
    <x v="3"/>
    <x v="1"/>
    <n v="0"/>
    <n v="0"/>
    <n v="0"/>
    <x v="0"/>
    <n v="0"/>
    <n v="0"/>
    <n v="0"/>
    <n v="0"/>
    <n v="61"/>
  </r>
  <r>
    <x v="777"/>
    <d v="2025-05-24T00:00:00"/>
    <x v="1"/>
    <s v="West"/>
    <x v="2"/>
    <x v="2"/>
    <x v="1"/>
    <n v="0"/>
    <n v="0"/>
    <n v="0"/>
    <x v="0"/>
    <n v="0"/>
    <n v="0"/>
    <n v="0"/>
    <n v="0"/>
    <n v="60.9"/>
  </r>
  <r>
    <x v="778"/>
    <d v="2025-01-08T00:00:00"/>
    <x v="1"/>
    <s v="South"/>
    <x v="1"/>
    <x v="1"/>
    <x v="1"/>
    <n v="1"/>
    <n v="0"/>
    <n v="0"/>
    <x v="0"/>
    <n v="0"/>
    <n v="0"/>
    <n v="0"/>
    <n v="0"/>
    <n v="67.099999999999994"/>
  </r>
  <r>
    <x v="779"/>
    <d v="2025-04-15T00:00:00"/>
    <x v="1"/>
    <s v="North"/>
    <x v="1"/>
    <x v="3"/>
    <x v="1"/>
    <n v="1"/>
    <n v="1"/>
    <n v="0"/>
    <x v="0"/>
    <n v="0"/>
    <n v="0"/>
    <n v="0"/>
    <n v="0"/>
    <n v="59.6"/>
  </r>
  <r>
    <x v="780"/>
    <d v="2025-01-15T00:00:00"/>
    <x v="1"/>
    <s v="South"/>
    <x v="0"/>
    <x v="2"/>
    <x v="1"/>
    <n v="1"/>
    <n v="0"/>
    <n v="0"/>
    <x v="0"/>
    <n v="0"/>
    <n v="0"/>
    <n v="0"/>
    <n v="0"/>
    <n v="83.8"/>
  </r>
  <r>
    <x v="781"/>
    <d v="2025-02-28T00:00:00"/>
    <x v="1"/>
    <s v="North"/>
    <x v="1"/>
    <x v="1"/>
    <x v="0"/>
    <n v="1"/>
    <n v="1"/>
    <n v="1"/>
    <x v="0"/>
    <n v="0"/>
    <n v="0"/>
    <n v="0"/>
    <n v="0"/>
    <n v="70.8"/>
  </r>
  <r>
    <x v="782"/>
    <d v="2025-01-01T00:00:00"/>
    <x v="1"/>
    <s v="North"/>
    <x v="2"/>
    <x v="1"/>
    <x v="0"/>
    <n v="0"/>
    <n v="0"/>
    <n v="0"/>
    <x v="0"/>
    <n v="0"/>
    <n v="0"/>
    <n v="0"/>
    <n v="0"/>
    <n v="65.900000000000006"/>
  </r>
  <r>
    <x v="783"/>
    <d v="2025-04-17T00:00:00"/>
    <x v="1"/>
    <s v="West"/>
    <x v="1"/>
    <x v="3"/>
    <x v="1"/>
    <n v="1"/>
    <n v="0"/>
    <n v="0"/>
    <x v="0"/>
    <n v="0"/>
    <n v="0"/>
    <n v="0"/>
    <n v="0"/>
    <n v="58"/>
  </r>
  <r>
    <x v="784"/>
    <d v="2025-02-19T00:00:00"/>
    <x v="1"/>
    <s v="North"/>
    <x v="1"/>
    <x v="0"/>
    <x v="0"/>
    <n v="1"/>
    <n v="1"/>
    <n v="0"/>
    <x v="0"/>
    <n v="0"/>
    <n v="0"/>
    <n v="0"/>
    <n v="0"/>
    <n v="80.3"/>
  </r>
  <r>
    <x v="785"/>
    <d v="2025-03-14T00:00:00"/>
    <x v="1"/>
    <s v="North"/>
    <x v="0"/>
    <x v="1"/>
    <x v="1"/>
    <n v="1"/>
    <n v="0"/>
    <n v="0"/>
    <x v="0"/>
    <n v="0"/>
    <n v="0"/>
    <n v="0"/>
    <n v="0"/>
    <n v="55.7"/>
  </r>
  <r>
    <x v="786"/>
    <d v="2025-04-21T00:00:00"/>
    <x v="1"/>
    <s v="North"/>
    <x v="1"/>
    <x v="1"/>
    <x v="1"/>
    <n v="1"/>
    <n v="1"/>
    <n v="0"/>
    <x v="0"/>
    <n v="0"/>
    <n v="0"/>
    <n v="0"/>
    <n v="0"/>
    <n v="84.9"/>
  </r>
  <r>
    <x v="787"/>
    <d v="2025-02-14T00:00:00"/>
    <x v="1"/>
    <s v="North"/>
    <x v="1"/>
    <x v="1"/>
    <x v="1"/>
    <n v="1"/>
    <n v="0"/>
    <n v="0"/>
    <x v="0"/>
    <n v="0"/>
    <n v="0"/>
    <n v="0"/>
    <n v="0"/>
    <n v="63.3"/>
  </r>
  <r>
    <x v="788"/>
    <d v="2025-05-30T00:00:00"/>
    <x v="1"/>
    <s v="West"/>
    <x v="1"/>
    <x v="1"/>
    <x v="1"/>
    <n v="0"/>
    <n v="0"/>
    <n v="0"/>
    <x v="0"/>
    <n v="0"/>
    <n v="0"/>
    <n v="0"/>
    <n v="0"/>
    <n v="53.1"/>
  </r>
  <r>
    <x v="789"/>
    <d v="2025-01-20T00:00:00"/>
    <x v="1"/>
    <s v="West"/>
    <x v="1"/>
    <x v="1"/>
    <x v="1"/>
    <n v="0"/>
    <n v="0"/>
    <n v="0"/>
    <x v="0"/>
    <n v="0"/>
    <n v="0"/>
    <n v="0"/>
    <n v="0"/>
    <n v="66"/>
  </r>
  <r>
    <x v="790"/>
    <d v="2025-03-17T00:00:00"/>
    <x v="1"/>
    <s v="West"/>
    <x v="1"/>
    <x v="4"/>
    <x v="2"/>
    <n v="0"/>
    <n v="0"/>
    <n v="0"/>
    <x v="0"/>
    <n v="0"/>
    <n v="0"/>
    <n v="0"/>
    <n v="0"/>
    <n v="54.7"/>
  </r>
  <r>
    <x v="791"/>
    <d v="2025-03-04T00:00:00"/>
    <x v="1"/>
    <s v="West"/>
    <x v="1"/>
    <x v="4"/>
    <x v="1"/>
    <n v="1"/>
    <n v="1"/>
    <n v="0"/>
    <x v="0"/>
    <n v="0"/>
    <n v="1"/>
    <n v="0"/>
    <n v="0"/>
    <n v="41.2"/>
  </r>
  <r>
    <x v="792"/>
    <d v="2025-02-22T00:00:00"/>
    <x v="1"/>
    <s v="South"/>
    <x v="1"/>
    <x v="1"/>
    <x v="2"/>
    <n v="0"/>
    <n v="0"/>
    <n v="0"/>
    <x v="0"/>
    <n v="0"/>
    <n v="0"/>
    <n v="0"/>
    <n v="0"/>
    <n v="66.7"/>
  </r>
  <r>
    <x v="793"/>
    <d v="2025-05-02T00:00:00"/>
    <x v="1"/>
    <s v="North"/>
    <x v="1"/>
    <x v="2"/>
    <x v="2"/>
    <n v="0"/>
    <n v="0"/>
    <n v="0"/>
    <x v="0"/>
    <n v="0"/>
    <n v="0"/>
    <n v="0"/>
    <n v="0"/>
    <n v="39.4"/>
  </r>
  <r>
    <x v="794"/>
    <d v="2025-03-13T00:00:00"/>
    <x v="1"/>
    <s v="West"/>
    <x v="0"/>
    <x v="1"/>
    <x v="2"/>
    <n v="0"/>
    <n v="0"/>
    <n v="0"/>
    <x v="0"/>
    <n v="0"/>
    <n v="3"/>
    <n v="0"/>
    <n v="0"/>
    <n v="67"/>
  </r>
  <r>
    <x v="795"/>
    <d v="2025-05-31T00:00:00"/>
    <x v="1"/>
    <s v="South"/>
    <x v="1"/>
    <x v="1"/>
    <x v="0"/>
    <n v="1"/>
    <n v="0"/>
    <n v="0"/>
    <x v="0"/>
    <n v="0"/>
    <n v="0"/>
    <n v="0"/>
    <n v="0"/>
    <n v="50.4"/>
  </r>
  <r>
    <x v="796"/>
    <d v="2025-03-07T00:00:00"/>
    <x v="1"/>
    <s v="West"/>
    <x v="0"/>
    <x v="4"/>
    <x v="1"/>
    <n v="1"/>
    <n v="0"/>
    <n v="0"/>
    <x v="0"/>
    <n v="0"/>
    <n v="0"/>
    <n v="0"/>
    <n v="0"/>
    <n v="53.8"/>
  </r>
  <r>
    <x v="797"/>
    <d v="2025-02-22T00:00:00"/>
    <x v="1"/>
    <s v="West"/>
    <x v="1"/>
    <x v="2"/>
    <x v="0"/>
    <n v="0"/>
    <n v="0"/>
    <n v="0"/>
    <x v="0"/>
    <n v="0"/>
    <n v="1"/>
    <n v="0"/>
    <n v="0"/>
    <n v="82.7"/>
  </r>
  <r>
    <x v="798"/>
    <d v="2025-01-05T00:00:00"/>
    <x v="1"/>
    <s v="West"/>
    <x v="0"/>
    <x v="2"/>
    <x v="1"/>
    <n v="1"/>
    <n v="1"/>
    <n v="1"/>
    <x v="0"/>
    <n v="0"/>
    <n v="0"/>
    <n v="0"/>
    <n v="0"/>
    <n v="63.9"/>
  </r>
  <r>
    <x v="799"/>
    <d v="2025-01-21T00:00:00"/>
    <x v="1"/>
    <s v="West"/>
    <x v="1"/>
    <x v="3"/>
    <x v="1"/>
    <n v="1"/>
    <n v="0"/>
    <n v="0"/>
    <x v="0"/>
    <n v="0"/>
    <n v="0"/>
    <n v="0"/>
    <n v="0"/>
    <n v="61.9"/>
  </r>
  <r>
    <x v="800"/>
    <d v="2025-01-25T00:00:00"/>
    <x v="1"/>
    <s v="North"/>
    <x v="0"/>
    <x v="4"/>
    <x v="1"/>
    <n v="1"/>
    <n v="1"/>
    <n v="1"/>
    <x v="0"/>
    <n v="0"/>
    <n v="0"/>
    <n v="0"/>
    <n v="0"/>
    <n v="75"/>
  </r>
  <r>
    <x v="801"/>
    <d v="2025-04-04T00:00:00"/>
    <x v="1"/>
    <s v="West"/>
    <x v="1"/>
    <x v="2"/>
    <x v="0"/>
    <n v="1"/>
    <n v="1"/>
    <n v="1"/>
    <x v="0"/>
    <n v="0"/>
    <n v="0"/>
    <n v="0"/>
    <n v="0"/>
    <n v="43"/>
  </r>
  <r>
    <x v="802"/>
    <d v="2025-03-25T00:00:00"/>
    <x v="1"/>
    <s v="North"/>
    <x v="0"/>
    <x v="4"/>
    <x v="2"/>
    <n v="0"/>
    <n v="0"/>
    <n v="0"/>
    <x v="0"/>
    <n v="0"/>
    <n v="0"/>
    <n v="0"/>
    <n v="0"/>
    <n v="54.3"/>
  </r>
  <r>
    <x v="803"/>
    <d v="2025-03-19T00:00:00"/>
    <x v="1"/>
    <s v="West"/>
    <x v="1"/>
    <x v="4"/>
    <x v="1"/>
    <n v="0"/>
    <n v="0"/>
    <n v="0"/>
    <x v="0"/>
    <n v="0"/>
    <n v="2"/>
    <n v="0"/>
    <n v="0"/>
    <n v="44.3"/>
  </r>
  <r>
    <x v="804"/>
    <d v="2025-04-24T00:00:00"/>
    <x v="1"/>
    <s v="West"/>
    <x v="0"/>
    <x v="1"/>
    <x v="1"/>
    <n v="1"/>
    <n v="1"/>
    <n v="1"/>
    <x v="1"/>
    <n v="402.88"/>
    <n v="0"/>
    <n v="0"/>
    <n v="12"/>
    <n v="76"/>
  </r>
  <r>
    <x v="805"/>
    <d v="2025-04-04T00:00:00"/>
    <x v="1"/>
    <s v="South"/>
    <x v="2"/>
    <x v="1"/>
    <x v="1"/>
    <n v="1"/>
    <n v="0"/>
    <n v="0"/>
    <x v="0"/>
    <n v="0"/>
    <n v="2"/>
    <n v="0"/>
    <n v="0"/>
    <n v="65.3"/>
  </r>
  <r>
    <x v="806"/>
    <d v="2025-03-28T00:00:00"/>
    <x v="1"/>
    <s v="South"/>
    <x v="0"/>
    <x v="2"/>
    <x v="2"/>
    <n v="1"/>
    <n v="0"/>
    <n v="0"/>
    <x v="0"/>
    <n v="0"/>
    <n v="0"/>
    <n v="0"/>
    <n v="0"/>
    <n v="71.2"/>
  </r>
  <r>
    <x v="807"/>
    <d v="2025-05-15T00:00:00"/>
    <x v="1"/>
    <s v="South"/>
    <x v="2"/>
    <x v="2"/>
    <x v="1"/>
    <n v="1"/>
    <n v="0"/>
    <n v="0"/>
    <x v="0"/>
    <n v="0"/>
    <n v="0"/>
    <n v="0"/>
    <n v="0"/>
    <n v="77.900000000000006"/>
  </r>
  <r>
    <x v="808"/>
    <d v="2025-03-13T00:00:00"/>
    <x v="1"/>
    <s v="West"/>
    <x v="1"/>
    <x v="2"/>
    <x v="1"/>
    <n v="0"/>
    <n v="0"/>
    <n v="0"/>
    <x v="0"/>
    <n v="0"/>
    <n v="0"/>
    <n v="0"/>
    <n v="0"/>
    <n v="48.6"/>
  </r>
  <r>
    <x v="809"/>
    <d v="2025-03-26T00:00:00"/>
    <x v="1"/>
    <s v="North"/>
    <x v="1"/>
    <x v="4"/>
    <x v="2"/>
    <n v="1"/>
    <n v="0"/>
    <n v="0"/>
    <x v="0"/>
    <n v="0"/>
    <n v="0"/>
    <n v="0"/>
    <n v="0"/>
    <n v="61.9"/>
  </r>
  <r>
    <x v="810"/>
    <d v="2025-01-09T00:00:00"/>
    <x v="1"/>
    <s v="North"/>
    <x v="1"/>
    <x v="4"/>
    <x v="0"/>
    <n v="0"/>
    <n v="0"/>
    <n v="0"/>
    <x v="0"/>
    <n v="0"/>
    <n v="1"/>
    <n v="0"/>
    <n v="0"/>
    <n v="58.7"/>
  </r>
  <r>
    <x v="811"/>
    <d v="2025-05-06T00:00:00"/>
    <x v="1"/>
    <s v="South"/>
    <x v="0"/>
    <x v="2"/>
    <x v="1"/>
    <n v="1"/>
    <n v="0"/>
    <n v="0"/>
    <x v="0"/>
    <n v="0"/>
    <n v="0"/>
    <n v="0"/>
    <n v="0"/>
    <n v="69.599999999999994"/>
  </r>
  <r>
    <x v="812"/>
    <d v="2025-02-17T00:00:00"/>
    <x v="1"/>
    <s v="South"/>
    <x v="1"/>
    <x v="1"/>
    <x v="1"/>
    <n v="1"/>
    <n v="0"/>
    <n v="0"/>
    <x v="0"/>
    <n v="0"/>
    <n v="0"/>
    <n v="0"/>
    <n v="0"/>
    <n v="51.5"/>
  </r>
  <r>
    <x v="813"/>
    <d v="2025-04-05T00:00:00"/>
    <x v="1"/>
    <s v="East"/>
    <x v="1"/>
    <x v="2"/>
    <x v="1"/>
    <n v="1"/>
    <n v="1"/>
    <n v="1"/>
    <x v="1"/>
    <n v="277.69"/>
    <n v="3"/>
    <n v="0"/>
    <n v="8"/>
    <n v="46"/>
  </r>
  <r>
    <x v="814"/>
    <d v="2025-04-13T00:00:00"/>
    <x v="1"/>
    <s v="West"/>
    <x v="2"/>
    <x v="1"/>
    <x v="1"/>
    <n v="1"/>
    <n v="0"/>
    <n v="0"/>
    <x v="0"/>
    <n v="0"/>
    <n v="0"/>
    <n v="0"/>
    <n v="0"/>
    <n v="81.7"/>
  </r>
  <r>
    <x v="815"/>
    <d v="2025-05-20T00:00:00"/>
    <x v="1"/>
    <s v="East"/>
    <x v="0"/>
    <x v="3"/>
    <x v="1"/>
    <n v="1"/>
    <n v="0"/>
    <n v="0"/>
    <x v="0"/>
    <n v="0"/>
    <n v="0"/>
    <n v="0"/>
    <n v="0"/>
    <n v="48.3"/>
  </r>
  <r>
    <x v="816"/>
    <d v="2025-03-31T00:00:00"/>
    <x v="1"/>
    <s v="East"/>
    <x v="1"/>
    <x v="0"/>
    <x v="1"/>
    <n v="1"/>
    <n v="1"/>
    <n v="0"/>
    <x v="0"/>
    <n v="0"/>
    <n v="0"/>
    <n v="0"/>
    <n v="0"/>
    <n v="85.6"/>
  </r>
  <r>
    <x v="817"/>
    <d v="2025-04-03T00:00:00"/>
    <x v="1"/>
    <s v="West"/>
    <x v="2"/>
    <x v="2"/>
    <x v="0"/>
    <n v="1"/>
    <n v="0"/>
    <n v="0"/>
    <x v="0"/>
    <n v="0"/>
    <n v="0"/>
    <n v="0"/>
    <n v="0"/>
    <n v="53.8"/>
  </r>
  <r>
    <x v="818"/>
    <d v="2025-02-04T00:00:00"/>
    <x v="1"/>
    <s v="South"/>
    <x v="1"/>
    <x v="1"/>
    <x v="1"/>
    <n v="1"/>
    <n v="1"/>
    <n v="1"/>
    <x v="1"/>
    <n v="460.83"/>
    <n v="2"/>
    <n v="0"/>
    <n v="0"/>
    <n v="69.7"/>
  </r>
  <r>
    <x v="819"/>
    <d v="2025-05-19T00:00:00"/>
    <x v="1"/>
    <s v="East"/>
    <x v="1"/>
    <x v="1"/>
    <x v="1"/>
    <n v="1"/>
    <n v="0"/>
    <n v="0"/>
    <x v="0"/>
    <n v="0"/>
    <n v="0"/>
    <n v="0"/>
    <n v="0"/>
    <n v="74.8"/>
  </r>
  <r>
    <x v="820"/>
    <d v="2025-03-08T00:00:00"/>
    <x v="1"/>
    <s v="East"/>
    <x v="0"/>
    <x v="2"/>
    <x v="0"/>
    <n v="0"/>
    <n v="0"/>
    <n v="0"/>
    <x v="0"/>
    <n v="0"/>
    <n v="0"/>
    <n v="0"/>
    <n v="0"/>
    <n v="87.9"/>
  </r>
  <r>
    <x v="821"/>
    <d v="2025-05-10T00:00:00"/>
    <x v="1"/>
    <s v="North"/>
    <x v="1"/>
    <x v="4"/>
    <x v="0"/>
    <n v="1"/>
    <n v="0"/>
    <n v="0"/>
    <x v="0"/>
    <n v="0"/>
    <n v="1"/>
    <n v="0"/>
    <n v="0"/>
    <n v="49.1"/>
  </r>
  <r>
    <x v="822"/>
    <d v="2025-01-02T00:00:00"/>
    <x v="1"/>
    <s v="East"/>
    <x v="0"/>
    <x v="4"/>
    <x v="0"/>
    <n v="1"/>
    <n v="0"/>
    <n v="0"/>
    <x v="0"/>
    <n v="0"/>
    <n v="2"/>
    <n v="0"/>
    <n v="0"/>
    <n v="73"/>
  </r>
  <r>
    <x v="823"/>
    <d v="2025-01-17T00:00:00"/>
    <x v="1"/>
    <s v="West"/>
    <x v="1"/>
    <x v="1"/>
    <x v="0"/>
    <n v="0"/>
    <n v="0"/>
    <n v="0"/>
    <x v="0"/>
    <n v="0"/>
    <n v="0"/>
    <n v="0"/>
    <n v="0"/>
    <n v="79.5"/>
  </r>
  <r>
    <x v="824"/>
    <d v="2025-05-21T00:00:00"/>
    <x v="1"/>
    <s v="West"/>
    <x v="1"/>
    <x v="3"/>
    <x v="0"/>
    <n v="1"/>
    <n v="1"/>
    <n v="1"/>
    <x v="1"/>
    <n v="782.23"/>
    <n v="1"/>
    <n v="0"/>
    <n v="6"/>
    <n v="93.2"/>
  </r>
  <r>
    <x v="825"/>
    <d v="2025-05-25T00:00:00"/>
    <x v="1"/>
    <s v="East"/>
    <x v="0"/>
    <x v="3"/>
    <x v="1"/>
    <n v="1"/>
    <n v="0"/>
    <n v="0"/>
    <x v="0"/>
    <n v="0"/>
    <n v="3"/>
    <n v="0"/>
    <n v="0"/>
    <n v="77.5"/>
  </r>
  <r>
    <x v="826"/>
    <d v="2025-01-05T00:00:00"/>
    <x v="1"/>
    <s v="West"/>
    <x v="1"/>
    <x v="0"/>
    <x v="0"/>
    <n v="1"/>
    <n v="0"/>
    <n v="0"/>
    <x v="0"/>
    <n v="0"/>
    <n v="0"/>
    <n v="0"/>
    <n v="0"/>
    <n v="61"/>
  </r>
  <r>
    <x v="827"/>
    <d v="2025-02-24T00:00:00"/>
    <x v="1"/>
    <s v="South"/>
    <x v="0"/>
    <x v="1"/>
    <x v="1"/>
    <n v="1"/>
    <n v="1"/>
    <n v="0"/>
    <x v="0"/>
    <n v="0"/>
    <n v="0"/>
    <n v="0"/>
    <n v="0"/>
    <n v="64.900000000000006"/>
  </r>
  <r>
    <x v="828"/>
    <d v="2025-01-21T00:00:00"/>
    <x v="1"/>
    <s v="East"/>
    <x v="1"/>
    <x v="2"/>
    <x v="0"/>
    <n v="1"/>
    <n v="0"/>
    <n v="0"/>
    <x v="0"/>
    <n v="0"/>
    <n v="0"/>
    <n v="0"/>
    <n v="0"/>
    <n v="87.5"/>
  </r>
  <r>
    <x v="829"/>
    <d v="2025-04-24T00:00:00"/>
    <x v="1"/>
    <s v="North"/>
    <x v="1"/>
    <x v="1"/>
    <x v="0"/>
    <n v="1"/>
    <n v="1"/>
    <n v="1"/>
    <x v="1"/>
    <n v="1171.99"/>
    <n v="0"/>
    <n v="0"/>
    <n v="5"/>
    <n v="80.599999999999994"/>
  </r>
  <r>
    <x v="830"/>
    <d v="2025-01-07T00:00:00"/>
    <x v="1"/>
    <s v="West"/>
    <x v="0"/>
    <x v="1"/>
    <x v="1"/>
    <n v="1"/>
    <n v="0"/>
    <n v="0"/>
    <x v="0"/>
    <n v="0"/>
    <n v="0"/>
    <n v="0"/>
    <n v="0"/>
    <n v="66.900000000000006"/>
  </r>
  <r>
    <x v="831"/>
    <d v="2025-05-31T00:00:00"/>
    <x v="1"/>
    <s v="South"/>
    <x v="2"/>
    <x v="1"/>
    <x v="0"/>
    <n v="1"/>
    <n v="1"/>
    <n v="1"/>
    <x v="0"/>
    <n v="0"/>
    <n v="0"/>
    <n v="0"/>
    <n v="0"/>
    <n v="58.8"/>
  </r>
  <r>
    <x v="832"/>
    <d v="2025-04-02T00:00:00"/>
    <x v="1"/>
    <s v="North"/>
    <x v="0"/>
    <x v="1"/>
    <x v="0"/>
    <n v="1"/>
    <n v="1"/>
    <n v="1"/>
    <x v="1"/>
    <n v="1010.4"/>
    <n v="0"/>
    <n v="0"/>
    <n v="4"/>
    <n v="42.9"/>
  </r>
  <r>
    <x v="833"/>
    <d v="2025-04-21T00:00:00"/>
    <x v="1"/>
    <s v="East"/>
    <x v="1"/>
    <x v="1"/>
    <x v="1"/>
    <n v="1"/>
    <n v="1"/>
    <n v="1"/>
    <x v="0"/>
    <n v="0"/>
    <n v="1"/>
    <n v="0"/>
    <n v="0"/>
    <n v="60.2"/>
  </r>
  <r>
    <x v="834"/>
    <d v="2025-05-05T00:00:00"/>
    <x v="1"/>
    <s v="East"/>
    <x v="1"/>
    <x v="2"/>
    <x v="0"/>
    <n v="1"/>
    <n v="0"/>
    <n v="0"/>
    <x v="0"/>
    <n v="0"/>
    <n v="0"/>
    <n v="0"/>
    <n v="0"/>
    <n v="42.7"/>
  </r>
  <r>
    <x v="835"/>
    <d v="2025-01-06T00:00:00"/>
    <x v="1"/>
    <s v="North"/>
    <x v="0"/>
    <x v="4"/>
    <x v="1"/>
    <n v="1"/>
    <n v="1"/>
    <n v="1"/>
    <x v="1"/>
    <n v="431.27"/>
    <n v="0"/>
    <n v="0"/>
    <n v="7"/>
    <n v="60.8"/>
  </r>
  <r>
    <x v="836"/>
    <d v="2025-04-24T00:00:00"/>
    <x v="1"/>
    <s v="South"/>
    <x v="1"/>
    <x v="3"/>
    <x v="1"/>
    <n v="1"/>
    <n v="1"/>
    <n v="1"/>
    <x v="1"/>
    <n v="428.8"/>
    <n v="0"/>
    <n v="0"/>
    <n v="9"/>
    <n v="79.3"/>
  </r>
  <r>
    <x v="837"/>
    <d v="2025-04-21T00:00:00"/>
    <x v="1"/>
    <s v="South"/>
    <x v="1"/>
    <x v="1"/>
    <x v="0"/>
    <n v="1"/>
    <n v="0"/>
    <n v="0"/>
    <x v="0"/>
    <n v="0"/>
    <n v="1"/>
    <n v="0"/>
    <n v="0"/>
    <n v="88.6"/>
  </r>
  <r>
    <x v="838"/>
    <d v="2025-02-09T00:00:00"/>
    <x v="1"/>
    <s v="West"/>
    <x v="1"/>
    <x v="1"/>
    <x v="0"/>
    <n v="1"/>
    <n v="1"/>
    <n v="1"/>
    <x v="0"/>
    <n v="0"/>
    <n v="0"/>
    <n v="0"/>
    <n v="0"/>
    <n v="63.1"/>
  </r>
  <r>
    <x v="839"/>
    <d v="2025-01-09T00:00:00"/>
    <x v="1"/>
    <s v="East"/>
    <x v="1"/>
    <x v="1"/>
    <x v="2"/>
    <n v="1"/>
    <n v="0"/>
    <n v="0"/>
    <x v="0"/>
    <n v="0"/>
    <n v="0"/>
    <n v="0"/>
    <n v="0"/>
    <n v="39.700000000000003"/>
  </r>
  <r>
    <x v="840"/>
    <d v="2025-02-16T00:00:00"/>
    <x v="1"/>
    <s v="North"/>
    <x v="1"/>
    <x v="2"/>
    <x v="0"/>
    <n v="0"/>
    <n v="0"/>
    <n v="0"/>
    <x v="0"/>
    <n v="0"/>
    <n v="0"/>
    <n v="0"/>
    <n v="0"/>
    <n v="67.2"/>
  </r>
  <r>
    <x v="841"/>
    <d v="2025-02-21T00:00:00"/>
    <x v="1"/>
    <s v="South"/>
    <x v="1"/>
    <x v="1"/>
    <x v="1"/>
    <n v="1"/>
    <n v="1"/>
    <n v="1"/>
    <x v="0"/>
    <n v="0"/>
    <n v="0"/>
    <n v="0"/>
    <n v="0"/>
    <n v="62.3"/>
  </r>
  <r>
    <x v="842"/>
    <d v="2025-02-08T00:00:00"/>
    <x v="1"/>
    <s v="South"/>
    <x v="1"/>
    <x v="1"/>
    <x v="2"/>
    <n v="1"/>
    <n v="0"/>
    <n v="0"/>
    <x v="0"/>
    <n v="0"/>
    <n v="0"/>
    <n v="0"/>
    <n v="0"/>
    <n v="0"/>
  </r>
  <r>
    <x v="843"/>
    <d v="2025-01-22T00:00:00"/>
    <x v="1"/>
    <s v="South"/>
    <x v="1"/>
    <x v="2"/>
    <x v="2"/>
    <n v="0"/>
    <n v="0"/>
    <n v="0"/>
    <x v="0"/>
    <n v="0"/>
    <n v="0"/>
    <n v="0"/>
    <n v="0"/>
    <n v="60.7"/>
  </r>
  <r>
    <x v="844"/>
    <d v="2025-04-01T00:00:00"/>
    <x v="1"/>
    <s v="West"/>
    <x v="1"/>
    <x v="1"/>
    <x v="0"/>
    <n v="1"/>
    <n v="0"/>
    <n v="0"/>
    <x v="0"/>
    <n v="0"/>
    <n v="0"/>
    <n v="0"/>
    <n v="0"/>
    <n v="61.5"/>
  </r>
  <r>
    <x v="845"/>
    <d v="2025-01-21T00:00:00"/>
    <x v="1"/>
    <s v="North"/>
    <x v="1"/>
    <x v="2"/>
    <x v="0"/>
    <n v="1"/>
    <n v="0"/>
    <n v="0"/>
    <x v="0"/>
    <n v="0"/>
    <n v="0"/>
    <n v="0"/>
    <n v="0"/>
    <n v="75"/>
  </r>
  <r>
    <x v="846"/>
    <d v="2025-01-02T00:00:00"/>
    <x v="1"/>
    <s v="East"/>
    <x v="0"/>
    <x v="1"/>
    <x v="1"/>
    <n v="1"/>
    <n v="1"/>
    <n v="0"/>
    <x v="0"/>
    <n v="0"/>
    <n v="0"/>
    <n v="0"/>
    <n v="0"/>
    <n v="51.9"/>
  </r>
  <r>
    <x v="847"/>
    <d v="2025-05-12T00:00:00"/>
    <x v="1"/>
    <s v="South"/>
    <x v="0"/>
    <x v="2"/>
    <x v="1"/>
    <n v="0"/>
    <n v="0"/>
    <n v="0"/>
    <x v="0"/>
    <n v="0"/>
    <n v="0"/>
    <n v="0"/>
    <n v="0"/>
    <n v="34.5"/>
  </r>
  <r>
    <x v="848"/>
    <d v="2025-03-05T00:00:00"/>
    <x v="1"/>
    <s v="South"/>
    <x v="1"/>
    <x v="4"/>
    <x v="0"/>
    <n v="0"/>
    <n v="0"/>
    <n v="0"/>
    <x v="0"/>
    <n v="0"/>
    <n v="0"/>
    <n v="0"/>
    <n v="0"/>
    <n v="54.5"/>
  </r>
  <r>
    <x v="849"/>
    <d v="2025-01-24T00:00:00"/>
    <x v="1"/>
    <s v="East"/>
    <x v="1"/>
    <x v="1"/>
    <x v="1"/>
    <n v="0"/>
    <n v="0"/>
    <n v="0"/>
    <x v="0"/>
    <n v="0"/>
    <n v="0"/>
    <n v="0"/>
    <n v="0"/>
    <n v="46"/>
  </r>
  <r>
    <x v="850"/>
    <d v="2025-01-31T00:00:00"/>
    <x v="1"/>
    <s v="East"/>
    <x v="0"/>
    <x v="0"/>
    <x v="1"/>
    <n v="1"/>
    <n v="1"/>
    <n v="1"/>
    <x v="0"/>
    <n v="0"/>
    <n v="0"/>
    <n v="0"/>
    <n v="0"/>
    <n v="88.4"/>
  </r>
  <r>
    <x v="851"/>
    <d v="2025-01-24T00:00:00"/>
    <x v="1"/>
    <s v="North"/>
    <x v="2"/>
    <x v="1"/>
    <x v="0"/>
    <n v="1"/>
    <n v="0"/>
    <n v="0"/>
    <x v="0"/>
    <n v="0"/>
    <n v="0"/>
    <n v="0"/>
    <n v="0"/>
    <n v="69.5"/>
  </r>
  <r>
    <x v="852"/>
    <d v="2025-02-14T00:00:00"/>
    <x v="1"/>
    <s v="North"/>
    <x v="0"/>
    <x v="3"/>
    <x v="0"/>
    <n v="1"/>
    <n v="1"/>
    <n v="1"/>
    <x v="0"/>
    <n v="0"/>
    <n v="0"/>
    <n v="0"/>
    <n v="0"/>
    <n v="74.2"/>
  </r>
  <r>
    <x v="853"/>
    <d v="2025-05-27T00:00:00"/>
    <x v="1"/>
    <s v="North"/>
    <x v="1"/>
    <x v="1"/>
    <x v="1"/>
    <n v="1"/>
    <n v="1"/>
    <n v="1"/>
    <x v="0"/>
    <n v="0"/>
    <n v="0"/>
    <n v="0"/>
    <n v="0"/>
    <n v="72.099999999999994"/>
  </r>
  <r>
    <x v="854"/>
    <d v="2025-02-28T00:00:00"/>
    <x v="1"/>
    <s v="North"/>
    <x v="1"/>
    <x v="2"/>
    <x v="1"/>
    <n v="1"/>
    <n v="1"/>
    <n v="1"/>
    <x v="1"/>
    <n v="398.33"/>
    <n v="0"/>
    <n v="0"/>
    <n v="5"/>
    <n v="85.1"/>
  </r>
  <r>
    <x v="855"/>
    <d v="2025-05-27T00:00:00"/>
    <x v="1"/>
    <s v="North"/>
    <x v="1"/>
    <x v="1"/>
    <x v="0"/>
    <n v="1"/>
    <n v="1"/>
    <n v="1"/>
    <x v="0"/>
    <n v="0"/>
    <n v="0"/>
    <n v="0"/>
    <n v="0"/>
    <n v="49.5"/>
  </r>
  <r>
    <x v="856"/>
    <d v="2025-05-17T00:00:00"/>
    <x v="1"/>
    <s v="South"/>
    <x v="1"/>
    <x v="2"/>
    <x v="2"/>
    <n v="0"/>
    <n v="0"/>
    <n v="0"/>
    <x v="0"/>
    <n v="0"/>
    <n v="1"/>
    <n v="0"/>
    <n v="0"/>
    <n v="79"/>
  </r>
  <r>
    <x v="857"/>
    <d v="2025-01-10T00:00:00"/>
    <x v="1"/>
    <s v="West"/>
    <x v="0"/>
    <x v="4"/>
    <x v="1"/>
    <n v="0"/>
    <n v="0"/>
    <n v="0"/>
    <x v="0"/>
    <n v="0"/>
    <n v="0"/>
    <n v="0"/>
    <n v="0"/>
    <n v="71.8"/>
  </r>
  <r>
    <x v="858"/>
    <d v="2025-04-22T00:00:00"/>
    <x v="1"/>
    <s v="North"/>
    <x v="1"/>
    <x v="0"/>
    <x v="0"/>
    <n v="1"/>
    <n v="1"/>
    <n v="1"/>
    <x v="1"/>
    <n v="1117.54"/>
    <n v="0"/>
    <n v="0"/>
    <n v="6"/>
    <n v="60.4"/>
  </r>
  <r>
    <x v="859"/>
    <d v="2025-03-02T00:00:00"/>
    <x v="1"/>
    <s v="South"/>
    <x v="0"/>
    <x v="1"/>
    <x v="0"/>
    <n v="1"/>
    <n v="0"/>
    <n v="0"/>
    <x v="0"/>
    <n v="0"/>
    <n v="2"/>
    <n v="0"/>
    <n v="0"/>
    <n v="38.299999999999997"/>
  </r>
  <r>
    <x v="860"/>
    <d v="2025-03-23T00:00:00"/>
    <x v="1"/>
    <s v="East"/>
    <x v="1"/>
    <x v="2"/>
    <x v="1"/>
    <n v="1"/>
    <n v="1"/>
    <n v="1"/>
    <x v="0"/>
    <n v="0"/>
    <n v="0"/>
    <n v="0"/>
    <n v="0"/>
    <n v="79.599999999999994"/>
  </r>
  <r>
    <x v="861"/>
    <d v="2025-02-12T00:00:00"/>
    <x v="1"/>
    <s v="East"/>
    <x v="1"/>
    <x v="0"/>
    <x v="1"/>
    <n v="1"/>
    <n v="1"/>
    <n v="1"/>
    <x v="0"/>
    <n v="0"/>
    <n v="0"/>
    <n v="0"/>
    <n v="0"/>
    <n v="71.900000000000006"/>
  </r>
  <r>
    <x v="862"/>
    <d v="2025-05-03T00:00:00"/>
    <x v="1"/>
    <s v="South"/>
    <x v="1"/>
    <x v="3"/>
    <x v="0"/>
    <n v="1"/>
    <n v="0"/>
    <n v="0"/>
    <x v="0"/>
    <n v="0"/>
    <n v="0"/>
    <n v="0"/>
    <n v="0"/>
    <n v="54.6"/>
  </r>
  <r>
    <x v="863"/>
    <d v="2025-03-28T00:00:00"/>
    <x v="1"/>
    <s v="North"/>
    <x v="0"/>
    <x v="4"/>
    <x v="1"/>
    <n v="1"/>
    <n v="0"/>
    <n v="0"/>
    <x v="0"/>
    <n v="0"/>
    <n v="3"/>
    <n v="0"/>
    <n v="0"/>
    <n v="49.3"/>
  </r>
  <r>
    <x v="864"/>
    <d v="2025-03-12T00:00:00"/>
    <x v="1"/>
    <s v="North"/>
    <x v="1"/>
    <x v="4"/>
    <x v="0"/>
    <n v="0"/>
    <n v="0"/>
    <n v="0"/>
    <x v="0"/>
    <n v="0"/>
    <n v="1"/>
    <n v="0"/>
    <n v="0"/>
    <n v="66.900000000000006"/>
  </r>
  <r>
    <x v="865"/>
    <d v="2025-04-27T00:00:00"/>
    <x v="1"/>
    <s v="East"/>
    <x v="1"/>
    <x v="2"/>
    <x v="1"/>
    <n v="1"/>
    <n v="0"/>
    <n v="0"/>
    <x v="0"/>
    <n v="0"/>
    <n v="1"/>
    <n v="0"/>
    <n v="0"/>
    <n v="77.8"/>
  </r>
  <r>
    <x v="866"/>
    <d v="2025-04-02T00:00:00"/>
    <x v="1"/>
    <s v="South"/>
    <x v="1"/>
    <x v="3"/>
    <x v="0"/>
    <n v="1"/>
    <n v="0"/>
    <n v="0"/>
    <x v="0"/>
    <n v="0"/>
    <n v="0"/>
    <n v="0"/>
    <n v="0"/>
    <n v="63"/>
  </r>
  <r>
    <x v="867"/>
    <d v="2025-04-21T00:00:00"/>
    <x v="1"/>
    <s v="North"/>
    <x v="1"/>
    <x v="4"/>
    <x v="1"/>
    <n v="0"/>
    <n v="0"/>
    <n v="0"/>
    <x v="0"/>
    <n v="0"/>
    <n v="0"/>
    <n v="0"/>
    <n v="0"/>
    <n v="79.8"/>
  </r>
  <r>
    <x v="868"/>
    <d v="2025-01-26T00:00:00"/>
    <x v="1"/>
    <s v="West"/>
    <x v="0"/>
    <x v="1"/>
    <x v="0"/>
    <n v="0"/>
    <n v="0"/>
    <n v="0"/>
    <x v="0"/>
    <n v="0"/>
    <n v="0"/>
    <n v="0"/>
    <n v="0"/>
    <n v="69.900000000000006"/>
  </r>
  <r>
    <x v="869"/>
    <d v="2025-01-06T00:00:00"/>
    <x v="1"/>
    <s v="West"/>
    <x v="1"/>
    <x v="1"/>
    <x v="1"/>
    <n v="0"/>
    <n v="0"/>
    <n v="0"/>
    <x v="0"/>
    <n v="0"/>
    <n v="1"/>
    <n v="0"/>
    <n v="0"/>
    <n v="66.400000000000006"/>
  </r>
  <r>
    <x v="870"/>
    <d v="2025-02-07T00:00:00"/>
    <x v="1"/>
    <s v="East"/>
    <x v="1"/>
    <x v="1"/>
    <x v="1"/>
    <n v="1"/>
    <n v="0"/>
    <n v="0"/>
    <x v="0"/>
    <n v="0"/>
    <n v="0"/>
    <n v="0"/>
    <n v="0"/>
    <n v="27.6"/>
  </r>
  <r>
    <x v="871"/>
    <d v="2025-05-07T00:00:00"/>
    <x v="1"/>
    <s v="West"/>
    <x v="1"/>
    <x v="1"/>
    <x v="2"/>
    <n v="1"/>
    <n v="0"/>
    <n v="0"/>
    <x v="0"/>
    <n v="0"/>
    <n v="1"/>
    <n v="0"/>
    <n v="0"/>
    <n v="56.5"/>
  </r>
  <r>
    <x v="872"/>
    <d v="2025-04-22T00:00:00"/>
    <x v="1"/>
    <s v="West"/>
    <x v="3"/>
    <x v="4"/>
    <x v="1"/>
    <n v="1"/>
    <n v="0"/>
    <n v="0"/>
    <x v="0"/>
    <n v="0"/>
    <n v="0"/>
    <n v="0"/>
    <n v="0"/>
    <n v="67.8"/>
  </r>
  <r>
    <x v="873"/>
    <d v="2025-05-04T00:00:00"/>
    <x v="1"/>
    <s v="West"/>
    <x v="0"/>
    <x v="4"/>
    <x v="1"/>
    <n v="1"/>
    <n v="0"/>
    <n v="0"/>
    <x v="0"/>
    <n v="0"/>
    <n v="0"/>
    <n v="0"/>
    <n v="0"/>
    <n v="80"/>
  </r>
  <r>
    <x v="874"/>
    <d v="2025-05-16T00:00:00"/>
    <x v="1"/>
    <s v="South"/>
    <x v="1"/>
    <x v="4"/>
    <x v="0"/>
    <n v="1"/>
    <n v="1"/>
    <n v="1"/>
    <x v="0"/>
    <n v="0"/>
    <n v="1"/>
    <n v="0"/>
    <n v="0"/>
    <n v="80.900000000000006"/>
  </r>
  <r>
    <x v="875"/>
    <d v="2025-02-11T00:00:00"/>
    <x v="1"/>
    <s v="West"/>
    <x v="1"/>
    <x v="2"/>
    <x v="1"/>
    <n v="0"/>
    <n v="0"/>
    <n v="0"/>
    <x v="0"/>
    <n v="0"/>
    <n v="0"/>
    <n v="0"/>
    <n v="0"/>
    <n v="34.5"/>
  </r>
  <r>
    <x v="876"/>
    <d v="2025-05-09T00:00:00"/>
    <x v="1"/>
    <s v="East"/>
    <x v="0"/>
    <x v="1"/>
    <x v="2"/>
    <n v="1"/>
    <n v="0"/>
    <n v="0"/>
    <x v="0"/>
    <n v="0"/>
    <n v="0"/>
    <n v="0"/>
    <n v="0"/>
    <n v="73.5"/>
  </r>
  <r>
    <x v="877"/>
    <d v="2025-02-09T00:00:00"/>
    <x v="1"/>
    <s v="South"/>
    <x v="0"/>
    <x v="2"/>
    <x v="1"/>
    <n v="1"/>
    <n v="1"/>
    <n v="0"/>
    <x v="0"/>
    <n v="0"/>
    <n v="0"/>
    <n v="0"/>
    <n v="0"/>
    <n v="70"/>
  </r>
  <r>
    <x v="878"/>
    <d v="2025-05-22T00:00:00"/>
    <x v="1"/>
    <s v="West"/>
    <x v="1"/>
    <x v="4"/>
    <x v="0"/>
    <n v="0"/>
    <n v="0"/>
    <n v="0"/>
    <x v="0"/>
    <n v="0"/>
    <n v="0"/>
    <n v="0"/>
    <n v="0"/>
    <n v="86.9"/>
  </r>
  <r>
    <x v="879"/>
    <d v="2025-05-24T00:00:00"/>
    <x v="1"/>
    <s v="East"/>
    <x v="1"/>
    <x v="4"/>
    <x v="0"/>
    <n v="0"/>
    <n v="0"/>
    <n v="0"/>
    <x v="0"/>
    <n v="0"/>
    <n v="0"/>
    <n v="0"/>
    <n v="0"/>
    <n v="66.900000000000006"/>
  </r>
  <r>
    <x v="880"/>
    <d v="2025-04-27T00:00:00"/>
    <x v="1"/>
    <s v="South"/>
    <x v="0"/>
    <x v="4"/>
    <x v="0"/>
    <n v="1"/>
    <n v="1"/>
    <n v="1"/>
    <x v="0"/>
    <n v="0"/>
    <n v="0"/>
    <n v="0"/>
    <n v="0"/>
    <n v="58.3"/>
  </r>
  <r>
    <x v="881"/>
    <d v="2025-03-19T00:00:00"/>
    <x v="1"/>
    <s v="East"/>
    <x v="1"/>
    <x v="2"/>
    <x v="1"/>
    <n v="1"/>
    <n v="0"/>
    <n v="0"/>
    <x v="0"/>
    <n v="0"/>
    <n v="0"/>
    <n v="0"/>
    <n v="0"/>
    <n v="45"/>
  </r>
  <r>
    <x v="882"/>
    <d v="2025-05-20T00:00:00"/>
    <x v="1"/>
    <s v="South"/>
    <x v="1"/>
    <x v="1"/>
    <x v="2"/>
    <n v="0"/>
    <n v="0"/>
    <n v="0"/>
    <x v="0"/>
    <n v="0"/>
    <n v="0"/>
    <n v="0"/>
    <n v="0"/>
    <n v="60.8"/>
  </r>
  <r>
    <x v="883"/>
    <d v="2025-05-10T00:00:00"/>
    <x v="1"/>
    <s v="North"/>
    <x v="1"/>
    <x v="0"/>
    <x v="2"/>
    <n v="1"/>
    <n v="0"/>
    <n v="0"/>
    <x v="0"/>
    <n v="0"/>
    <n v="4"/>
    <n v="0"/>
    <n v="0"/>
    <n v="53.7"/>
  </r>
  <r>
    <x v="884"/>
    <d v="2025-03-29T00:00:00"/>
    <x v="1"/>
    <s v="East"/>
    <x v="1"/>
    <x v="4"/>
    <x v="1"/>
    <n v="1"/>
    <n v="1"/>
    <n v="1"/>
    <x v="0"/>
    <n v="0"/>
    <n v="0"/>
    <n v="0"/>
    <n v="0"/>
    <n v="48.8"/>
  </r>
  <r>
    <x v="885"/>
    <d v="2025-04-03T00:00:00"/>
    <x v="1"/>
    <s v="West"/>
    <x v="0"/>
    <x v="3"/>
    <x v="0"/>
    <n v="0"/>
    <n v="0"/>
    <n v="0"/>
    <x v="0"/>
    <n v="0"/>
    <n v="0"/>
    <n v="0"/>
    <n v="0"/>
    <n v="52.9"/>
  </r>
  <r>
    <x v="886"/>
    <d v="2025-05-30T00:00:00"/>
    <x v="1"/>
    <s v="South"/>
    <x v="1"/>
    <x v="0"/>
    <x v="1"/>
    <n v="1"/>
    <n v="0"/>
    <n v="0"/>
    <x v="0"/>
    <n v="0"/>
    <n v="0"/>
    <n v="0"/>
    <n v="0"/>
    <n v="42.4"/>
  </r>
  <r>
    <x v="887"/>
    <d v="2025-04-06T00:00:00"/>
    <x v="1"/>
    <s v="East"/>
    <x v="0"/>
    <x v="0"/>
    <x v="1"/>
    <n v="1"/>
    <n v="0"/>
    <n v="0"/>
    <x v="0"/>
    <n v="0"/>
    <n v="0"/>
    <n v="0"/>
    <n v="0"/>
    <n v="58.7"/>
  </r>
  <r>
    <x v="888"/>
    <d v="2025-03-14T00:00:00"/>
    <x v="1"/>
    <s v="North"/>
    <x v="1"/>
    <x v="3"/>
    <x v="1"/>
    <n v="1"/>
    <n v="1"/>
    <n v="1"/>
    <x v="1"/>
    <n v="2064.5500000000002"/>
    <n v="0"/>
    <n v="0"/>
    <n v="1"/>
    <n v="67.8"/>
  </r>
  <r>
    <x v="889"/>
    <d v="2025-02-24T00:00:00"/>
    <x v="1"/>
    <s v="South"/>
    <x v="0"/>
    <x v="2"/>
    <x v="0"/>
    <n v="1"/>
    <n v="0"/>
    <n v="0"/>
    <x v="0"/>
    <n v="0"/>
    <n v="0"/>
    <n v="0"/>
    <n v="0"/>
    <n v="62.6"/>
  </r>
  <r>
    <x v="890"/>
    <d v="2025-03-04T00:00:00"/>
    <x v="1"/>
    <s v="West"/>
    <x v="1"/>
    <x v="0"/>
    <x v="0"/>
    <n v="1"/>
    <n v="0"/>
    <n v="0"/>
    <x v="0"/>
    <n v="0"/>
    <n v="0"/>
    <n v="0"/>
    <n v="0"/>
    <n v="82.4"/>
  </r>
  <r>
    <x v="891"/>
    <d v="2025-04-02T00:00:00"/>
    <x v="1"/>
    <s v="North"/>
    <x v="1"/>
    <x v="1"/>
    <x v="1"/>
    <n v="1"/>
    <n v="1"/>
    <n v="1"/>
    <x v="0"/>
    <n v="0"/>
    <n v="0"/>
    <n v="0"/>
    <n v="0"/>
    <n v="50.4"/>
  </r>
  <r>
    <x v="892"/>
    <d v="2025-05-11T00:00:00"/>
    <x v="1"/>
    <s v="North"/>
    <x v="1"/>
    <x v="0"/>
    <x v="2"/>
    <n v="0"/>
    <n v="0"/>
    <n v="0"/>
    <x v="0"/>
    <n v="0"/>
    <n v="0"/>
    <n v="0"/>
    <n v="0"/>
    <n v="68.400000000000006"/>
  </r>
  <r>
    <x v="893"/>
    <d v="2025-05-10T00:00:00"/>
    <x v="1"/>
    <s v="West"/>
    <x v="2"/>
    <x v="2"/>
    <x v="0"/>
    <n v="1"/>
    <n v="1"/>
    <n v="1"/>
    <x v="0"/>
    <n v="0"/>
    <n v="0"/>
    <n v="0"/>
    <n v="0"/>
    <n v="58.8"/>
  </r>
  <r>
    <x v="894"/>
    <d v="2025-05-06T00:00:00"/>
    <x v="1"/>
    <s v="West"/>
    <x v="1"/>
    <x v="3"/>
    <x v="1"/>
    <n v="1"/>
    <n v="1"/>
    <n v="0"/>
    <x v="0"/>
    <n v="0"/>
    <n v="2"/>
    <n v="0"/>
    <n v="0"/>
    <n v="28.3"/>
  </r>
  <r>
    <x v="895"/>
    <d v="2025-02-11T00:00:00"/>
    <x v="1"/>
    <s v="West"/>
    <x v="0"/>
    <x v="2"/>
    <x v="1"/>
    <n v="1"/>
    <n v="1"/>
    <n v="0"/>
    <x v="0"/>
    <n v="0"/>
    <n v="0"/>
    <n v="0"/>
    <n v="0"/>
    <n v="44.1"/>
  </r>
  <r>
    <x v="896"/>
    <d v="2025-05-09T00:00:00"/>
    <x v="1"/>
    <s v="South"/>
    <x v="1"/>
    <x v="2"/>
    <x v="2"/>
    <n v="1"/>
    <n v="1"/>
    <n v="0"/>
    <x v="0"/>
    <n v="0"/>
    <n v="0"/>
    <n v="0"/>
    <n v="0"/>
    <n v="66.7"/>
  </r>
  <r>
    <x v="897"/>
    <d v="2025-02-02T00:00:00"/>
    <x v="1"/>
    <s v="South"/>
    <x v="1"/>
    <x v="5"/>
    <x v="1"/>
    <n v="1"/>
    <n v="0"/>
    <n v="0"/>
    <x v="0"/>
    <n v="0"/>
    <n v="0"/>
    <n v="0"/>
    <n v="0"/>
    <n v="100"/>
  </r>
  <r>
    <x v="898"/>
    <d v="2025-04-03T00:00:00"/>
    <x v="1"/>
    <s v="South"/>
    <x v="1"/>
    <x v="4"/>
    <x v="1"/>
    <n v="1"/>
    <n v="1"/>
    <n v="0"/>
    <x v="0"/>
    <n v="0"/>
    <n v="0"/>
    <n v="0"/>
    <n v="0"/>
    <n v="87.5"/>
  </r>
  <r>
    <x v="899"/>
    <d v="2025-02-15T00:00:00"/>
    <x v="1"/>
    <s v="North"/>
    <x v="0"/>
    <x v="1"/>
    <x v="0"/>
    <n v="1"/>
    <n v="0"/>
    <n v="0"/>
    <x v="0"/>
    <n v="0"/>
    <n v="2"/>
    <n v="0"/>
    <n v="0"/>
    <n v="65.400000000000006"/>
  </r>
  <r>
    <x v="900"/>
    <d v="2025-04-18T00:00:00"/>
    <x v="1"/>
    <s v="South"/>
    <x v="0"/>
    <x v="1"/>
    <x v="1"/>
    <n v="1"/>
    <n v="0"/>
    <n v="0"/>
    <x v="0"/>
    <n v="0"/>
    <n v="0"/>
    <n v="0"/>
    <n v="0"/>
    <n v="22.9"/>
  </r>
  <r>
    <x v="901"/>
    <d v="2025-03-14T00:00:00"/>
    <x v="1"/>
    <s v="West"/>
    <x v="0"/>
    <x v="1"/>
    <x v="2"/>
    <n v="0"/>
    <n v="0"/>
    <n v="0"/>
    <x v="0"/>
    <n v="0"/>
    <n v="0"/>
    <n v="0"/>
    <n v="0"/>
    <n v="64.599999999999994"/>
  </r>
  <r>
    <x v="902"/>
    <d v="2025-03-29T00:00:00"/>
    <x v="1"/>
    <s v="South"/>
    <x v="1"/>
    <x v="3"/>
    <x v="1"/>
    <n v="1"/>
    <n v="0"/>
    <n v="0"/>
    <x v="0"/>
    <n v="0"/>
    <n v="2"/>
    <n v="0"/>
    <n v="0"/>
    <n v="54.4"/>
  </r>
  <r>
    <x v="903"/>
    <d v="2025-02-13T00:00:00"/>
    <x v="1"/>
    <s v="North"/>
    <x v="0"/>
    <x v="1"/>
    <x v="1"/>
    <n v="1"/>
    <n v="1"/>
    <n v="1"/>
    <x v="0"/>
    <n v="0"/>
    <n v="0"/>
    <n v="0"/>
    <n v="0"/>
    <n v="56.8"/>
  </r>
  <r>
    <x v="904"/>
    <d v="2025-01-23T00:00:00"/>
    <x v="1"/>
    <s v="South"/>
    <x v="1"/>
    <x v="2"/>
    <x v="1"/>
    <n v="1"/>
    <n v="1"/>
    <n v="1"/>
    <x v="1"/>
    <n v="341.38"/>
    <n v="0"/>
    <n v="0"/>
    <n v="2"/>
    <n v="63.6"/>
  </r>
  <r>
    <x v="905"/>
    <d v="2025-02-24T00:00:00"/>
    <x v="1"/>
    <s v="East"/>
    <x v="1"/>
    <x v="4"/>
    <x v="1"/>
    <n v="1"/>
    <n v="0"/>
    <n v="0"/>
    <x v="0"/>
    <n v="0"/>
    <n v="0"/>
    <n v="0"/>
    <n v="0"/>
    <n v="58.2"/>
  </r>
  <r>
    <x v="906"/>
    <d v="2025-02-28T00:00:00"/>
    <x v="1"/>
    <s v="West"/>
    <x v="1"/>
    <x v="2"/>
    <x v="1"/>
    <n v="1"/>
    <n v="1"/>
    <n v="0"/>
    <x v="0"/>
    <n v="0"/>
    <n v="0"/>
    <n v="0"/>
    <n v="0"/>
    <n v="54.6"/>
  </r>
  <r>
    <x v="907"/>
    <d v="2025-01-07T00:00:00"/>
    <x v="1"/>
    <s v="West"/>
    <x v="2"/>
    <x v="1"/>
    <x v="0"/>
    <n v="1"/>
    <n v="0"/>
    <n v="0"/>
    <x v="0"/>
    <n v="0"/>
    <n v="0"/>
    <n v="0"/>
    <n v="0"/>
    <n v="81.900000000000006"/>
  </r>
  <r>
    <x v="908"/>
    <d v="2025-03-21T00:00:00"/>
    <x v="1"/>
    <s v="West"/>
    <x v="0"/>
    <x v="0"/>
    <x v="1"/>
    <n v="1"/>
    <n v="0"/>
    <n v="0"/>
    <x v="0"/>
    <n v="0"/>
    <n v="3"/>
    <n v="0"/>
    <n v="0"/>
    <n v="53.3"/>
  </r>
  <r>
    <x v="909"/>
    <d v="2025-02-18T00:00:00"/>
    <x v="1"/>
    <s v="North"/>
    <x v="0"/>
    <x v="1"/>
    <x v="0"/>
    <n v="0"/>
    <n v="0"/>
    <n v="0"/>
    <x v="0"/>
    <n v="0"/>
    <n v="0"/>
    <n v="0"/>
    <n v="0"/>
    <n v="54.2"/>
  </r>
  <r>
    <x v="910"/>
    <d v="2025-01-05T00:00:00"/>
    <x v="1"/>
    <s v="North"/>
    <x v="1"/>
    <x v="2"/>
    <x v="1"/>
    <n v="1"/>
    <n v="1"/>
    <n v="0"/>
    <x v="0"/>
    <n v="0"/>
    <n v="0"/>
    <n v="0"/>
    <n v="0"/>
    <n v="65.599999999999994"/>
  </r>
  <r>
    <x v="911"/>
    <d v="2025-03-11T00:00:00"/>
    <x v="1"/>
    <s v="East"/>
    <x v="0"/>
    <x v="1"/>
    <x v="0"/>
    <n v="1"/>
    <n v="0"/>
    <n v="0"/>
    <x v="0"/>
    <n v="0"/>
    <n v="1"/>
    <n v="0"/>
    <n v="0"/>
    <n v="56.5"/>
  </r>
  <r>
    <x v="912"/>
    <d v="2025-01-09T00:00:00"/>
    <x v="1"/>
    <s v="North"/>
    <x v="0"/>
    <x v="1"/>
    <x v="0"/>
    <n v="1"/>
    <n v="0"/>
    <n v="0"/>
    <x v="0"/>
    <n v="0"/>
    <n v="0"/>
    <n v="0"/>
    <n v="0"/>
    <n v="59.7"/>
  </r>
  <r>
    <x v="913"/>
    <d v="2025-01-08T00:00:00"/>
    <x v="1"/>
    <s v="South"/>
    <x v="1"/>
    <x v="1"/>
    <x v="1"/>
    <n v="1"/>
    <n v="1"/>
    <n v="1"/>
    <x v="0"/>
    <n v="0"/>
    <n v="0"/>
    <n v="0"/>
    <n v="0"/>
    <n v="72.5"/>
  </r>
  <r>
    <x v="914"/>
    <d v="2025-05-01T00:00:00"/>
    <x v="1"/>
    <s v="East"/>
    <x v="0"/>
    <x v="2"/>
    <x v="1"/>
    <n v="1"/>
    <n v="0"/>
    <n v="0"/>
    <x v="0"/>
    <n v="0"/>
    <n v="0"/>
    <n v="0"/>
    <n v="0"/>
    <n v="64.3"/>
  </r>
  <r>
    <x v="915"/>
    <d v="2025-03-03T00:00:00"/>
    <x v="1"/>
    <s v="South"/>
    <x v="1"/>
    <x v="4"/>
    <x v="1"/>
    <n v="1"/>
    <n v="0"/>
    <n v="0"/>
    <x v="0"/>
    <n v="0"/>
    <n v="0"/>
    <n v="0"/>
    <n v="0"/>
    <n v="64.5"/>
  </r>
  <r>
    <x v="916"/>
    <d v="2025-02-23T00:00:00"/>
    <x v="1"/>
    <s v="West"/>
    <x v="0"/>
    <x v="4"/>
    <x v="0"/>
    <n v="1"/>
    <n v="1"/>
    <n v="1"/>
    <x v="0"/>
    <n v="0"/>
    <n v="0"/>
    <n v="0"/>
    <n v="0"/>
    <n v="70.599999999999994"/>
  </r>
  <r>
    <x v="917"/>
    <d v="2025-02-17T00:00:00"/>
    <x v="1"/>
    <s v="South"/>
    <x v="0"/>
    <x v="1"/>
    <x v="0"/>
    <n v="0"/>
    <n v="0"/>
    <n v="0"/>
    <x v="0"/>
    <n v="0"/>
    <n v="0"/>
    <n v="0"/>
    <n v="0"/>
    <n v="58.4"/>
  </r>
  <r>
    <x v="918"/>
    <d v="2025-05-21T00:00:00"/>
    <x v="1"/>
    <s v="East"/>
    <x v="1"/>
    <x v="1"/>
    <x v="0"/>
    <n v="1"/>
    <n v="0"/>
    <n v="0"/>
    <x v="0"/>
    <n v="0"/>
    <n v="0"/>
    <n v="0"/>
    <n v="0"/>
    <n v="56.6"/>
  </r>
  <r>
    <x v="919"/>
    <d v="2025-01-30T00:00:00"/>
    <x v="1"/>
    <s v="South"/>
    <x v="1"/>
    <x v="1"/>
    <x v="1"/>
    <n v="1"/>
    <n v="0"/>
    <n v="0"/>
    <x v="0"/>
    <n v="0"/>
    <n v="0"/>
    <n v="0"/>
    <n v="0"/>
    <n v="61.8"/>
  </r>
  <r>
    <x v="920"/>
    <d v="2025-03-20T00:00:00"/>
    <x v="1"/>
    <s v="West"/>
    <x v="1"/>
    <x v="0"/>
    <x v="1"/>
    <n v="1"/>
    <n v="1"/>
    <n v="1"/>
    <x v="1"/>
    <n v="513.52"/>
    <n v="0"/>
    <n v="0"/>
    <n v="8"/>
    <n v="43.4"/>
  </r>
  <r>
    <x v="921"/>
    <d v="2025-04-10T00:00:00"/>
    <x v="1"/>
    <s v="West"/>
    <x v="2"/>
    <x v="2"/>
    <x v="1"/>
    <n v="0"/>
    <n v="0"/>
    <n v="0"/>
    <x v="0"/>
    <n v="0"/>
    <n v="0"/>
    <n v="0"/>
    <n v="0"/>
    <n v="43"/>
  </r>
  <r>
    <x v="922"/>
    <d v="2025-03-07T00:00:00"/>
    <x v="1"/>
    <s v="North"/>
    <x v="0"/>
    <x v="1"/>
    <x v="1"/>
    <n v="1"/>
    <n v="1"/>
    <n v="1"/>
    <x v="0"/>
    <n v="0"/>
    <n v="0"/>
    <n v="0"/>
    <n v="0"/>
    <n v="51.1"/>
  </r>
  <r>
    <x v="923"/>
    <d v="2025-03-12T00:00:00"/>
    <x v="1"/>
    <s v="West"/>
    <x v="1"/>
    <x v="0"/>
    <x v="0"/>
    <n v="1"/>
    <n v="0"/>
    <n v="0"/>
    <x v="0"/>
    <n v="0"/>
    <n v="0"/>
    <n v="0"/>
    <n v="0"/>
    <n v="48.8"/>
  </r>
  <r>
    <x v="924"/>
    <d v="2025-02-24T00:00:00"/>
    <x v="1"/>
    <s v="East"/>
    <x v="1"/>
    <x v="3"/>
    <x v="1"/>
    <n v="0"/>
    <n v="0"/>
    <n v="0"/>
    <x v="0"/>
    <n v="0"/>
    <n v="0"/>
    <n v="0"/>
    <n v="0"/>
    <n v="73.2"/>
  </r>
  <r>
    <x v="925"/>
    <d v="2025-01-15T00:00:00"/>
    <x v="1"/>
    <s v="East"/>
    <x v="1"/>
    <x v="3"/>
    <x v="1"/>
    <n v="1"/>
    <n v="1"/>
    <n v="1"/>
    <x v="0"/>
    <n v="0"/>
    <n v="0"/>
    <n v="0"/>
    <n v="0"/>
    <n v="80"/>
  </r>
  <r>
    <x v="926"/>
    <d v="2025-01-07T00:00:00"/>
    <x v="1"/>
    <s v="North"/>
    <x v="0"/>
    <x v="2"/>
    <x v="1"/>
    <n v="1"/>
    <n v="0"/>
    <n v="0"/>
    <x v="0"/>
    <n v="0"/>
    <n v="0"/>
    <n v="0"/>
    <n v="0"/>
    <n v="52.3"/>
  </r>
  <r>
    <x v="927"/>
    <d v="2025-03-02T00:00:00"/>
    <x v="1"/>
    <s v="North"/>
    <x v="0"/>
    <x v="1"/>
    <x v="1"/>
    <n v="0"/>
    <n v="0"/>
    <n v="0"/>
    <x v="0"/>
    <n v="0"/>
    <n v="0"/>
    <n v="0"/>
    <n v="0"/>
    <n v="49.1"/>
  </r>
  <r>
    <x v="928"/>
    <d v="2025-01-05T00:00:00"/>
    <x v="1"/>
    <s v="South"/>
    <x v="0"/>
    <x v="3"/>
    <x v="0"/>
    <n v="0"/>
    <n v="0"/>
    <n v="0"/>
    <x v="0"/>
    <n v="0"/>
    <n v="0"/>
    <n v="0"/>
    <n v="0"/>
    <n v="45.3"/>
  </r>
  <r>
    <x v="929"/>
    <d v="2025-03-03T00:00:00"/>
    <x v="1"/>
    <s v="South"/>
    <x v="1"/>
    <x v="1"/>
    <x v="1"/>
    <n v="1"/>
    <n v="1"/>
    <n v="0"/>
    <x v="0"/>
    <n v="0"/>
    <n v="0"/>
    <n v="0"/>
    <n v="0"/>
    <n v="49.1"/>
  </r>
  <r>
    <x v="930"/>
    <d v="2025-03-31T00:00:00"/>
    <x v="1"/>
    <s v="East"/>
    <x v="0"/>
    <x v="3"/>
    <x v="1"/>
    <n v="1"/>
    <n v="1"/>
    <n v="1"/>
    <x v="1"/>
    <n v="476.44"/>
    <n v="0"/>
    <n v="0"/>
    <n v="3"/>
    <n v="88.6"/>
  </r>
  <r>
    <x v="931"/>
    <d v="2025-01-14T00:00:00"/>
    <x v="1"/>
    <s v="East"/>
    <x v="0"/>
    <x v="2"/>
    <x v="2"/>
    <n v="0"/>
    <n v="0"/>
    <n v="0"/>
    <x v="0"/>
    <n v="0"/>
    <n v="1"/>
    <n v="0"/>
    <n v="0"/>
    <n v="54.4"/>
  </r>
  <r>
    <x v="932"/>
    <d v="2025-01-15T00:00:00"/>
    <x v="1"/>
    <s v="West"/>
    <x v="0"/>
    <x v="2"/>
    <x v="2"/>
    <n v="1"/>
    <n v="0"/>
    <n v="0"/>
    <x v="0"/>
    <n v="0"/>
    <n v="0"/>
    <n v="0"/>
    <n v="0"/>
    <n v="72.900000000000006"/>
  </r>
  <r>
    <x v="933"/>
    <d v="2025-04-25T00:00:00"/>
    <x v="1"/>
    <s v="West"/>
    <x v="0"/>
    <x v="1"/>
    <x v="1"/>
    <n v="1"/>
    <n v="0"/>
    <n v="0"/>
    <x v="0"/>
    <n v="0"/>
    <n v="0"/>
    <n v="0"/>
    <n v="0"/>
    <n v="53.2"/>
  </r>
  <r>
    <x v="934"/>
    <d v="2025-03-21T00:00:00"/>
    <x v="1"/>
    <s v="East"/>
    <x v="1"/>
    <x v="1"/>
    <x v="0"/>
    <n v="1"/>
    <n v="1"/>
    <n v="0"/>
    <x v="0"/>
    <n v="0"/>
    <n v="0"/>
    <n v="0"/>
    <n v="0"/>
    <n v="48.7"/>
  </r>
  <r>
    <x v="935"/>
    <d v="2025-04-26T00:00:00"/>
    <x v="1"/>
    <s v="South"/>
    <x v="1"/>
    <x v="2"/>
    <x v="0"/>
    <n v="1"/>
    <n v="1"/>
    <n v="1"/>
    <x v="0"/>
    <n v="0"/>
    <n v="0"/>
    <n v="0"/>
    <n v="0"/>
    <n v="59.9"/>
  </r>
  <r>
    <x v="936"/>
    <d v="2025-05-21T00:00:00"/>
    <x v="1"/>
    <s v="South"/>
    <x v="0"/>
    <x v="5"/>
    <x v="0"/>
    <n v="0"/>
    <n v="0"/>
    <n v="0"/>
    <x v="0"/>
    <n v="0"/>
    <n v="0"/>
    <n v="0"/>
    <n v="0"/>
    <n v="82"/>
  </r>
  <r>
    <x v="937"/>
    <d v="2025-04-18T00:00:00"/>
    <x v="1"/>
    <s v="East"/>
    <x v="1"/>
    <x v="2"/>
    <x v="1"/>
    <n v="0"/>
    <n v="0"/>
    <n v="0"/>
    <x v="0"/>
    <n v="0"/>
    <n v="0"/>
    <n v="0"/>
    <n v="0"/>
    <n v="72.099999999999994"/>
  </r>
  <r>
    <x v="938"/>
    <d v="2025-01-29T00:00:00"/>
    <x v="1"/>
    <s v="North"/>
    <x v="0"/>
    <x v="0"/>
    <x v="2"/>
    <n v="1"/>
    <n v="1"/>
    <n v="0"/>
    <x v="0"/>
    <n v="0"/>
    <n v="0"/>
    <n v="0"/>
    <n v="0"/>
    <n v="68.3"/>
  </r>
  <r>
    <x v="939"/>
    <d v="2025-05-28T00:00:00"/>
    <x v="1"/>
    <s v="West"/>
    <x v="1"/>
    <x v="1"/>
    <x v="2"/>
    <n v="0"/>
    <n v="0"/>
    <n v="0"/>
    <x v="0"/>
    <n v="0"/>
    <n v="0"/>
    <n v="0"/>
    <n v="0"/>
    <n v="100"/>
  </r>
  <r>
    <x v="940"/>
    <d v="2025-01-15T00:00:00"/>
    <x v="1"/>
    <s v="East"/>
    <x v="1"/>
    <x v="0"/>
    <x v="1"/>
    <n v="1"/>
    <n v="1"/>
    <n v="1"/>
    <x v="0"/>
    <n v="0"/>
    <n v="2"/>
    <n v="0"/>
    <n v="0"/>
    <n v="76.5"/>
  </r>
  <r>
    <x v="941"/>
    <d v="2025-01-03T00:00:00"/>
    <x v="1"/>
    <s v="South"/>
    <x v="1"/>
    <x v="1"/>
    <x v="0"/>
    <n v="1"/>
    <n v="1"/>
    <n v="0"/>
    <x v="0"/>
    <n v="0"/>
    <n v="0"/>
    <n v="0"/>
    <n v="0"/>
    <n v="62"/>
  </r>
  <r>
    <x v="942"/>
    <d v="2025-02-04T00:00:00"/>
    <x v="1"/>
    <s v="South"/>
    <x v="1"/>
    <x v="2"/>
    <x v="1"/>
    <n v="1"/>
    <n v="1"/>
    <n v="1"/>
    <x v="1"/>
    <n v="324.68"/>
    <n v="1"/>
    <n v="0"/>
    <n v="7"/>
    <n v="50.1"/>
  </r>
  <r>
    <x v="943"/>
    <d v="2025-02-22T00:00:00"/>
    <x v="1"/>
    <s v="South"/>
    <x v="1"/>
    <x v="3"/>
    <x v="2"/>
    <n v="1"/>
    <n v="0"/>
    <n v="0"/>
    <x v="0"/>
    <n v="0"/>
    <n v="0"/>
    <n v="0"/>
    <n v="0"/>
    <n v="62.1"/>
  </r>
  <r>
    <x v="944"/>
    <d v="2025-05-06T00:00:00"/>
    <x v="1"/>
    <s v="West"/>
    <x v="1"/>
    <x v="1"/>
    <x v="0"/>
    <n v="1"/>
    <n v="0"/>
    <n v="0"/>
    <x v="0"/>
    <n v="0"/>
    <n v="0"/>
    <n v="0"/>
    <n v="0"/>
    <n v="49.7"/>
  </r>
  <r>
    <x v="945"/>
    <d v="2025-01-31T00:00:00"/>
    <x v="1"/>
    <s v="South"/>
    <x v="1"/>
    <x v="1"/>
    <x v="1"/>
    <n v="1"/>
    <n v="0"/>
    <n v="0"/>
    <x v="0"/>
    <n v="0"/>
    <n v="3"/>
    <n v="0"/>
    <n v="0"/>
    <n v="71.099999999999994"/>
  </r>
  <r>
    <x v="946"/>
    <d v="2025-02-18T00:00:00"/>
    <x v="1"/>
    <s v="North"/>
    <x v="1"/>
    <x v="4"/>
    <x v="0"/>
    <n v="0"/>
    <n v="0"/>
    <n v="0"/>
    <x v="0"/>
    <n v="0"/>
    <n v="0"/>
    <n v="0"/>
    <n v="0"/>
    <n v="70.8"/>
  </r>
  <r>
    <x v="947"/>
    <d v="2025-04-23T00:00:00"/>
    <x v="1"/>
    <s v="East"/>
    <x v="1"/>
    <x v="2"/>
    <x v="1"/>
    <n v="1"/>
    <n v="1"/>
    <n v="1"/>
    <x v="1"/>
    <n v="301.98"/>
    <n v="0"/>
    <n v="0"/>
    <n v="10"/>
    <n v="52.2"/>
  </r>
  <r>
    <x v="948"/>
    <d v="2025-02-06T00:00:00"/>
    <x v="1"/>
    <s v="North"/>
    <x v="1"/>
    <x v="1"/>
    <x v="1"/>
    <n v="1"/>
    <n v="1"/>
    <n v="1"/>
    <x v="0"/>
    <n v="0"/>
    <n v="0"/>
    <n v="0"/>
    <n v="0"/>
    <n v="73"/>
  </r>
  <r>
    <x v="949"/>
    <d v="2025-04-26T00:00:00"/>
    <x v="1"/>
    <s v="South"/>
    <x v="0"/>
    <x v="2"/>
    <x v="1"/>
    <n v="0"/>
    <n v="0"/>
    <n v="0"/>
    <x v="0"/>
    <n v="0"/>
    <n v="0"/>
    <n v="0"/>
    <n v="0"/>
    <n v="78.2"/>
  </r>
  <r>
    <x v="950"/>
    <d v="2025-03-30T00:00:00"/>
    <x v="1"/>
    <s v="West"/>
    <x v="0"/>
    <x v="2"/>
    <x v="0"/>
    <n v="1"/>
    <n v="0"/>
    <n v="0"/>
    <x v="0"/>
    <n v="0"/>
    <n v="0"/>
    <n v="0"/>
    <n v="0"/>
    <n v="68.8"/>
  </r>
  <r>
    <x v="951"/>
    <d v="2025-04-13T00:00:00"/>
    <x v="1"/>
    <s v="West"/>
    <x v="1"/>
    <x v="5"/>
    <x v="2"/>
    <n v="1"/>
    <n v="0"/>
    <n v="0"/>
    <x v="0"/>
    <n v="0"/>
    <n v="0"/>
    <n v="0"/>
    <n v="0"/>
    <n v="57.1"/>
  </r>
  <r>
    <x v="952"/>
    <d v="2025-04-04T00:00:00"/>
    <x v="1"/>
    <s v="East"/>
    <x v="0"/>
    <x v="1"/>
    <x v="2"/>
    <n v="0"/>
    <n v="0"/>
    <n v="0"/>
    <x v="0"/>
    <n v="0"/>
    <n v="1"/>
    <n v="0"/>
    <n v="0"/>
    <n v="74.599999999999994"/>
  </r>
  <r>
    <x v="953"/>
    <d v="2025-04-03T00:00:00"/>
    <x v="1"/>
    <s v="North"/>
    <x v="0"/>
    <x v="3"/>
    <x v="1"/>
    <n v="1"/>
    <n v="0"/>
    <n v="0"/>
    <x v="0"/>
    <n v="0"/>
    <n v="1"/>
    <n v="0"/>
    <n v="0"/>
    <n v="64.099999999999994"/>
  </r>
  <r>
    <x v="954"/>
    <d v="2025-03-14T00:00:00"/>
    <x v="1"/>
    <s v="West"/>
    <x v="1"/>
    <x v="2"/>
    <x v="2"/>
    <n v="1"/>
    <n v="0"/>
    <n v="0"/>
    <x v="0"/>
    <n v="0"/>
    <n v="0"/>
    <n v="0"/>
    <n v="0"/>
    <n v="67.3"/>
  </r>
  <r>
    <x v="955"/>
    <d v="2025-01-14T00:00:00"/>
    <x v="1"/>
    <s v="West"/>
    <x v="1"/>
    <x v="3"/>
    <x v="1"/>
    <n v="0"/>
    <n v="0"/>
    <n v="0"/>
    <x v="0"/>
    <n v="0"/>
    <n v="2"/>
    <n v="0"/>
    <n v="0"/>
    <n v="41"/>
  </r>
  <r>
    <x v="956"/>
    <d v="2025-05-05T00:00:00"/>
    <x v="1"/>
    <s v="West"/>
    <x v="1"/>
    <x v="2"/>
    <x v="1"/>
    <n v="0"/>
    <n v="0"/>
    <n v="0"/>
    <x v="0"/>
    <n v="0"/>
    <n v="0"/>
    <n v="0"/>
    <n v="0"/>
    <n v="48.1"/>
  </r>
  <r>
    <x v="957"/>
    <d v="2025-05-02T00:00:00"/>
    <x v="1"/>
    <s v="West"/>
    <x v="0"/>
    <x v="4"/>
    <x v="1"/>
    <n v="0"/>
    <n v="0"/>
    <n v="0"/>
    <x v="0"/>
    <n v="0"/>
    <n v="1"/>
    <n v="0"/>
    <n v="0"/>
    <n v="60.8"/>
  </r>
  <r>
    <x v="958"/>
    <d v="2025-05-21T00:00:00"/>
    <x v="1"/>
    <s v="East"/>
    <x v="1"/>
    <x v="1"/>
    <x v="1"/>
    <n v="1"/>
    <n v="0"/>
    <n v="0"/>
    <x v="0"/>
    <n v="0"/>
    <n v="0"/>
    <n v="0"/>
    <n v="0"/>
    <n v="63.1"/>
  </r>
  <r>
    <x v="959"/>
    <d v="2025-05-16T00:00:00"/>
    <x v="1"/>
    <s v="North"/>
    <x v="1"/>
    <x v="3"/>
    <x v="2"/>
    <n v="1"/>
    <n v="0"/>
    <n v="0"/>
    <x v="0"/>
    <n v="0"/>
    <n v="2"/>
    <n v="0"/>
    <n v="0"/>
    <n v="49.7"/>
  </r>
  <r>
    <x v="960"/>
    <d v="2025-05-24T00:00:00"/>
    <x v="1"/>
    <s v="East"/>
    <x v="0"/>
    <x v="1"/>
    <x v="2"/>
    <n v="1"/>
    <n v="1"/>
    <n v="1"/>
    <x v="0"/>
    <n v="0"/>
    <n v="1"/>
    <n v="0"/>
    <n v="0"/>
    <n v="83.4"/>
  </r>
  <r>
    <x v="961"/>
    <d v="2025-03-18T00:00:00"/>
    <x v="1"/>
    <s v="East"/>
    <x v="1"/>
    <x v="1"/>
    <x v="0"/>
    <n v="1"/>
    <n v="0"/>
    <n v="0"/>
    <x v="0"/>
    <n v="0"/>
    <n v="0"/>
    <n v="0"/>
    <n v="0"/>
    <n v="75.900000000000006"/>
  </r>
  <r>
    <x v="962"/>
    <d v="2025-01-11T00:00:00"/>
    <x v="1"/>
    <s v="East"/>
    <x v="0"/>
    <x v="2"/>
    <x v="1"/>
    <n v="0"/>
    <n v="0"/>
    <n v="0"/>
    <x v="0"/>
    <n v="0"/>
    <n v="1"/>
    <n v="0"/>
    <n v="0"/>
    <n v="71.8"/>
  </r>
  <r>
    <x v="963"/>
    <d v="2025-02-09T00:00:00"/>
    <x v="1"/>
    <s v="South"/>
    <x v="1"/>
    <x v="1"/>
    <x v="0"/>
    <n v="0"/>
    <n v="0"/>
    <n v="0"/>
    <x v="0"/>
    <n v="0"/>
    <n v="0"/>
    <n v="0"/>
    <n v="0"/>
    <n v="37.9"/>
  </r>
  <r>
    <x v="964"/>
    <d v="2025-03-01T00:00:00"/>
    <x v="1"/>
    <s v="North"/>
    <x v="0"/>
    <x v="4"/>
    <x v="1"/>
    <n v="1"/>
    <n v="0"/>
    <n v="0"/>
    <x v="0"/>
    <n v="0"/>
    <n v="0"/>
    <n v="0"/>
    <n v="0"/>
    <n v="59.8"/>
  </r>
  <r>
    <x v="965"/>
    <d v="2025-05-07T00:00:00"/>
    <x v="1"/>
    <s v="North"/>
    <x v="1"/>
    <x v="1"/>
    <x v="0"/>
    <n v="0"/>
    <n v="0"/>
    <n v="0"/>
    <x v="0"/>
    <n v="0"/>
    <n v="0"/>
    <n v="0"/>
    <n v="0"/>
    <n v="66.900000000000006"/>
  </r>
  <r>
    <x v="966"/>
    <d v="2025-02-19T00:00:00"/>
    <x v="1"/>
    <s v="South"/>
    <x v="0"/>
    <x v="5"/>
    <x v="1"/>
    <n v="1"/>
    <n v="0"/>
    <n v="0"/>
    <x v="0"/>
    <n v="0"/>
    <n v="0"/>
    <n v="0"/>
    <n v="0"/>
    <n v="59"/>
  </r>
  <r>
    <x v="967"/>
    <d v="2025-02-26T00:00:00"/>
    <x v="1"/>
    <s v="West"/>
    <x v="1"/>
    <x v="1"/>
    <x v="2"/>
    <n v="1"/>
    <n v="0"/>
    <n v="0"/>
    <x v="0"/>
    <n v="0"/>
    <n v="0"/>
    <n v="0"/>
    <n v="0"/>
    <n v="80.099999999999994"/>
  </r>
  <r>
    <x v="968"/>
    <d v="2025-03-23T00:00:00"/>
    <x v="1"/>
    <s v="South"/>
    <x v="1"/>
    <x v="4"/>
    <x v="1"/>
    <n v="0"/>
    <n v="0"/>
    <n v="0"/>
    <x v="0"/>
    <n v="0"/>
    <n v="0"/>
    <n v="0"/>
    <n v="0"/>
    <n v="64.3"/>
  </r>
  <r>
    <x v="969"/>
    <d v="2025-04-25T00:00:00"/>
    <x v="1"/>
    <s v="South"/>
    <x v="0"/>
    <x v="4"/>
    <x v="1"/>
    <n v="0"/>
    <n v="0"/>
    <n v="0"/>
    <x v="0"/>
    <n v="0"/>
    <n v="1"/>
    <n v="0"/>
    <n v="0"/>
    <n v="57.4"/>
  </r>
  <r>
    <x v="970"/>
    <d v="2025-05-10T00:00:00"/>
    <x v="1"/>
    <s v="North"/>
    <x v="0"/>
    <x v="4"/>
    <x v="1"/>
    <n v="1"/>
    <n v="1"/>
    <n v="1"/>
    <x v="0"/>
    <n v="0"/>
    <n v="0"/>
    <n v="0"/>
    <n v="0"/>
    <n v="83.6"/>
  </r>
  <r>
    <x v="971"/>
    <d v="2025-04-22T00:00:00"/>
    <x v="1"/>
    <s v="East"/>
    <x v="1"/>
    <x v="2"/>
    <x v="2"/>
    <n v="0"/>
    <n v="0"/>
    <n v="0"/>
    <x v="0"/>
    <n v="0"/>
    <n v="0"/>
    <n v="0"/>
    <n v="0"/>
    <n v="45.8"/>
  </r>
  <r>
    <x v="972"/>
    <d v="2025-02-18T00:00:00"/>
    <x v="1"/>
    <s v="West"/>
    <x v="1"/>
    <x v="3"/>
    <x v="0"/>
    <n v="1"/>
    <n v="1"/>
    <n v="1"/>
    <x v="0"/>
    <n v="0"/>
    <n v="0"/>
    <n v="0"/>
    <n v="0"/>
    <n v="64.3"/>
  </r>
  <r>
    <x v="973"/>
    <d v="2025-01-26T00:00:00"/>
    <x v="1"/>
    <s v="South"/>
    <x v="1"/>
    <x v="2"/>
    <x v="2"/>
    <n v="1"/>
    <n v="1"/>
    <n v="1"/>
    <x v="0"/>
    <n v="0"/>
    <n v="0"/>
    <n v="0"/>
    <n v="0"/>
    <n v="80.5"/>
  </r>
  <r>
    <x v="974"/>
    <d v="2025-04-28T00:00:00"/>
    <x v="1"/>
    <s v="North"/>
    <x v="1"/>
    <x v="1"/>
    <x v="1"/>
    <n v="1"/>
    <n v="0"/>
    <n v="0"/>
    <x v="0"/>
    <n v="0"/>
    <n v="0"/>
    <n v="0"/>
    <n v="0"/>
    <n v="46.3"/>
  </r>
  <r>
    <x v="975"/>
    <d v="2025-04-02T00:00:00"/>
    <x v="1"/>
    <s v="South"/>
    <x v="0"/>
    <x v="0"/>
    <x v="0"/>
    <n v="1"/>
    <n v="0"/>
    <n v="0"/>
    <x v="0"/>
    <n v="0"/>
    <n v="0"/>
    <n v="0"/>
    <n v="0"/>
    <n v="71.599999999999994"/>
  </r>
  <r>
    <x v="976"/>
    <d v="2025-04-12T00:00:00"/>
    <x v="1"/>
    <s v="South"/>
    <x v="0"/>
    <x v="0"/>
    <x v="2"/>
    <n v="1"/>
    <n v="1"/>
    <n v="0"/>
    <x v="0"/>
    <n v="0"/>
    <n v="0"/>
    <n v="0"/>
    <n v="0"/>
    <n v="57.8"/>
  </r>
  <r>
    <x v="977"/>
    <d v="2025-01-03T00:00:00"/>
    <x v="1"/>
    <s v="West"/>
    <x v="0"/>
    <x v="0"/>
    <x v="0"/>
    <n v="1"/>
    <n v="1"/>
    <n v="1"/>
    <x v="0"/>
    <n v="0"/>
    <n v="1"/>
    <n v="0"/>
    <n v="0"/>
    <n v="57.8"/>
  </r>
  <r>
    <x v="978"/>
    <d v="2025-05-08T00:00:00"/>
    <x v="1"/>
    <s v="North"/>
    <x v="1"/>
    <x v="2"/>
    <x v="1"/>
    <n v="1"/>
    <n v="0"/>
    <n v="0"/>
    <x v="0"/>
    <n v="0"/>
    <n v="0"/>
    <n v="0"/>
    <n v="0"/>
    <n v="38.299999999999997"/>
  </r>
  <r>
    <x v="979"/>
    <d v="2025-02-20T00:00:00"/>
    <x v="1"/>
    <s v="North"/>
    <x v="1"/>
    <x v="3"/>
    <x v="2"/>
    <n v="1"/>
    <n v="0"/>
    <n v="0"/>
    <x v="0"/>
    <n v="0"/>
    <n v="1"/>
    <n v="0"/>
    <n v="0"/>
    <n v="66.099999999999994"/>
  </r>
  <r>
    <x v="980"/>
    <d v="2025-03-17T00:00:00"/>
    <x v="1"/>
    <s v="North"/>
    <x v="0"/>
    <x v="2"/>
    <x v="2"/>
    <n v="1"/>
    <n v="0"/>
    <n v="0"/>
    <x v="0"/>
    <n v="0"/>
    <n v="0"/>
    <n v="0"/>
    <n v="0"/>
    <n v="66.5"/>
  </r>
  <r>
    <x v="981"/>
    <d v="2025-04-10T00:00:00"/>
    <x v="1"/>
    <s v="South"/>
    <x v="0"/>
    <x v="0"/>
    <x v="1"/>
    <n v="1"/>
    <n v="0"/>
    <n v="0"/>
    <x v="0"/>
    <n v="0"/>
    <n v="3"/>
    <n v="0"/>
    <n v="0"/>
    <n v="51.5"/>
  </r>
  <r>
    <x v="982"/>
    <d v="2025-05-08T00:00:00"/>
    <x v="1"/>
    <s v="North"/>
    <x v="0"/>
    <x v="3"/>
    <x v="1"/>
    <n v="1"/>
    <n v="0"/>
    <n v="0"/>
    <x v="0"/>
    <n v="0"/>
    <n v="0"/>
    <n v="0"/>
    <n v="0"/>
    <n v="59.9"/>
  </r>
  <r>
    <x v="983"/>
    <d v="2025-04-19T00:00:00"/>
    <x v="1"/>
    <s v="West"/>
    <x v="1"/>
    <x v="2"/>
    <x v="0"/>
    <n v="1"/>
    <n v="0"/>
    <n v="0"/>
    <x v="0"/>
    <n v="0"/>
    <n v="0"/>
    <n v="0"/>
    <n v="0"/>
    <n v="58.8"/>
  </r>
  <r>
    <x v="984"/>
    <d v="2025-01-01T00:00:00"/>
    <x v="1"/>
    <s v="South"/>
    <x v="2"/>
    <x v="2"/>
    <x v="0"/>
    <n v="1"/>
    <n v="0"/>
    <n v="0"/>
    <x v="0"/>
    <n v="0"/>
    <n v="0"/>
    <n v="0"/>
    <n v="0"/>
    <n v="69.599999999999994"/>
  </r>
  <r>
    <x v="985"/>
    <d v="2025-03-10T00:00:00"/>
    <x v="1"/>
    <s v="East"/>
    <x v="1"/>
    <x v="2"/>
    <x v="1"/>
    <n v="1"/>
    <n v="0"/>
    <n v="0"/>
    <x v="0"/>
    <n v="0"/>
    <n v="0"/>
    <n v="0"/>
    <n v="0"/>
    <n v="77.5"/>
  </r>
  <r>
    <x v="986"/>
    <d v="2025-03-10T00:00:00"/>
    <x v="1"/>
    <s v="East"/>
    <x v="2"/>
    <x v="4"/>
    <x v="2"/>
    <n v="0"/>
    <n v="0"/>
    <n v="0"/>
    <x v="0"/>
    <n v="0"/>
    <n v="2"/>
    <n v="0"/>
    <n v="0"/>
    <n v="57.5"/>
  </r>
  <r>
    <x v="987"/>
    <d v="2025-04-19T00:00:00"/>
    <x v="1"/>
    <s v="West"/>
    <x v="2"/>
    <x v="0"/>
    <x v="0"/>
    <n v="1"/>
    <n v="0"/>
    <n v="0"/>
    <x v="0"/>
    <n v="0"/>
    <n v="0"/>
    <n v="0"/>
    <n v="0"/>
    <n v="64.2"/>
  </r>
  <r>
    <x v="988"/>
    <d v="2025-04-11T00:00:00"/>
    <x v="1"/>
    <s v="West"/>
    <x v="0"/>
    <x v="1"/>
    <x v="1"/>
    <n v="0"/>
    <n v="0"/>
    <n v="0"/>
    <x v="0"/>
    <n v="0"/>
    <n v="0"/>
    <n v="0"/>
    <n v="0"/>
    <n v="60"/>
  </r>
  <r>
    <x v="989"/>
    <d v="2025-04-10T00:00:00"/>
    <x v="1"/>
    <s v="East"/>
    <x v="1"/>
    <x v="1"/>
    <x v="0"/>
    <n v="1"/>
    <n v="0"/>
    <n v="0"/>
    <x v="0"/>
    <n v="0"/>
    <n v="1"/>
    <n v="0"/>
    <n v="0"/>
    <n v="43.7"/>
  </r>
  <r>
    <x v="990"/>
    <d v="2025-01-13T00:00:00"/>
    <x v="1"/>
    <s v="West"/>
    <x v="0"/>
    <x v="4"/>
    <x v="1"/>
    <n v="1"/>
    <n v="0"/>
    <n v="0"/>
    <x v="0"/>
    <n v="0"/>
    <n v="0"/>
    <n v="0"/>
    <n v="0"/>
    <n v="64.900000000000006"/>
  </r>
  <r>
    <x v="991"/>
    <d v="2025-03-28T00:00:00"/>
    <x v="1"/>
    <s v="South"/>
    <x v="0"/>
    <x v="1"/>
    <x v="1"/>
    <n v="1"/>
    <n v="1"/>
    <n v="0"/>
    <x v="0"/>
    <n v="0"/>
    <n v="0"/>
    <n v="0"/>
    <n v="0"/>
    <n v="45.5"/>
  </r>
  <r>
    <x v="992"/>
    <d v="2025-01-29T00:00:00"/>
    <x v="1"/>
    <s v="East"/>
    <x v="1"/>
    <x v="2"/>
    <x v="1"/>
    <n v="1"/>
    <n v="1"/>
    <n v="1"/>
    <x v="1"/>
    <n v="1772.97"/>
    <n v="0"/>
    <n v="0"/>
    <n v="8"/>
    <n v="61.2"/>
  </r>
  <r>
    <x v="993"/>
    <d v="2025-03-27T00:00:00"/>
    <x v="1"/>
    <s v="South"/>
    <x v="1"/>
    <x v="3"/>
    <x v="1"/>
    <n v="0"/>
    <n v="0"/>
    <n v="0"/>
    <x v="0"/>
    <n v="0"/>
    <n v="0"/>
    <n v="0"/>
    <n v="0"/>
    <n v="87.8"/>
  </r>
  <r>
    <x v="994"/>
    <d v="2025-03-20T00:00:00"/>
    <x v="1"/>
    <s v="East"/>
    <x v="2"/>
    <x v="4"/>
    <x v="1"/>
    <n v="0"/>
    <n v="0"/>
    <n v="0"/>
    <x v="0"/>
    <n v="0"/>
    <n v="0"/>
    <n v="0"/>
    <n v="0"/>
    <n v="86.4"/>
  </r>
  <r>
    <x v="995"/>
    <d v="2025-01-09T00:00:00"/>
    <x v="1"/>
    <s v="North"/>
    <x v="1"/>
    <x v="2"/>
    <x v="0"/>
    <n v="0"/>
    <n v="0"/>
    <n v="0"/>
    <x v="0"/>
    <n v="0"/>
    <n v="1"/>
    <n v="0"/>
    <n v="0"/>
    <n v="71.400000000000006"/>
  </r>
  <r>
    <x v="996"/>
    <d v="2025-04-25T00:00:00"/>
    <x v="1"/>
    <s v="West"/>
    <x v="1"/>
    <x v="4"/>
    <x v="1"/>
    <n v="1"/>
    <n v="1"/>
    <n v="1"/>
    <x v="1"/>
    <n v="218.66"/>
    <n v="0"/>
    <n v="1"/>
    <n v="8"/>
    <n v="72.2"/>
  </r>
  <r>
    <x v="997"/>
    <d v="2025-04-11T00:00:00"/>
    <x v="1"/>
    <s v="South"/>
    <x v="0"/>
    <x v="4"/>
    <x v="1"/>
    <n v="1"/>
    <n v="0"/>
    <n v="0"/>
    <x v="0"/>
    <n v="0"/>
    <n v="0"/>
    <n v="0"/>
    <n v="0"/>
    <n v="51.9"/>
  </r>
  <r>
    <x v="998"/>
    <d v="2025-02-05T00:00:00"/>
    <x v="1"/>
    <s v="East"/>
    <x v="1"/>
    <x v="4"/>
    <x v="0"/>
    <n v="1"/>
    <n v="1"/>
    <n v="1"/>
    <x v="0"/>
    <n v="0"/>
    <n v="0"/>
    <n v="0"/>
    <n v="0"/>
    <n v="70.3"/>
  </r>
  <r>
    <x v="999"/>
    <d v="2025-03-28T00:00:00"/>
    <x v="1"/>
    <s v="South"/>
    <x v="1"/>
    <x v="4"/>
    <x v="2"/>
    <n v="1"/>
    <n v="0"/>
    <n v="0"/>
    <x v="0"/>
    <n v="0"/>
    <n v="1"/>
    <n v="0"/>
    <n v="0"/>
    <n v="49.2"/>
  </r>
  <r>
    <x v="1000"/>
    <d v="2025-05-14T00:00:00"/>
    <x v="1"/>
    <s v="South"/>
    <x v="1"/>
    <x v="3"/>
    <x v="1"/>
    <n v="0"/>
    <n v="0"/>
    <n v="0"/>
    <x v="0"/>
    <n v="0"/>
    <n v="0"/>
    <n v="0"/>
    <n v="0"/>
    <n v="52.2"/>
  </r>
  <r>
    <x v="1001"/>
    <d v="2025-03-10T00:00:00"/>
    <x v="1"/>
    <s v="East"/>
    <x v="1"/>
    <x v="2"/>
    <x v="0"/>
    <n v="0"/>
    <n v="0"/>
    <n v="0"/>
    <x v="0"/>
    <n v="0"/>
    <n v="1"/>
    <n v="0"/>
    <n v="0"/>
    <n v="62.6"/>
  </r>
  <r>
    <x v="1002"/>
    <d v="2025-04-09T00:00:00"/>
    <x v="1"/>
    <s v="East"/>
    <x v="0"/>
    <x v="2"/>
    <x v="1"/>
    <n v="1"/>
    <n v="1"/>
    <n v="0"/>
    <x v="0"/>
    <n v="0"/>
    <n v="0"/>
    <n v="0"/>
    <n v="0"/>
    <n v="100"/>
  </r>
  <r>
    <x v="1003"/>
    <d v="2025-02-13T00:00:00"/>
    <x v="1"/>
    <s v="North"/>
    <x v="1"/>
    <x v="3"/>
    <x v="0"/>
    <n v="1"/>
    <n v="1"/>
    <n v="1"/>
    <x v="0"/>
    <n v="0"/>
    <n v="2"/>
    <n v="0"/>
    <n v="0"/>
    <n v="45.9"/>
  </r>
  <r>
    <x v="1004"/>
    <d v="2025-05-03T00:00:00"/>
    <x v="1"/>
    <s v="East"/>
    <x v="1"/>
    <x v="0"/>
    <x v="1"/>
    <n v="1"/>
    <n v="1"/>
    <n v="1"/>
    <x v="0"/>
    <n v="0"/>
    <n v="0"/>
    <n v="0"/>
    <n v="0"/>
    <n v="80.7"/>
  </r>
  <r>
    <x v="1005"/>
    <d v="2025-04-16T00:00:00"/>
    <x v="1"/>
    <s v="South"/>
    <x v="0"/>
    <x v="3"/>
    <x v="2"/>
    <n v="1"/>
    <n v="0"/>
    <n v="0"/>
    <x v="0"/>
    <n v="0"/>
    <n v="0"/>
    <n v="0"/>
    <n v="0"/>
    <n v="51.9"/>
  </r>
  <r>
    <x v="1006"/>
    <d v="2025-04-30T00:00:00"/>
    <x v="1"/>
    <s v="North"/>
    <x v="1"/>
    <x v="2"/>
    <x v="2"/>
    <n v="1"/>
    <n v="0"/>
    <n v="0"/>
    <x v="0"/>
    <n v="0"/>
    <n v="0"/>
    <n v="0"/>
    <n v="0"/>
    <n v="68.900000000000006"/>
  </r>
  <r>
    <x v="1007"/>
    <d v="2025-02-18T00:00:00"/>
    <x v="1"/>
    <s v="West"/>
    <x v="0"/>
    <x v="1"/>
    <x v="1"/>
    <n v="1"/>
    <n v="0"/>
    <n v="0"/>
    <x v="0"/>
    <n v="0"/>
    <n v="0"/>
    <n v="0"/>
    <n v="0"/>
    <n v="66"/>
  </r>
  <r>
    <x v="1008"/>
    <d v="2025-05-22T00:00:00"/>
    <x v="1"/>
    <s v="West"/>
    <x v="0"/>
    <x v="3"/>
    <x v="0"/>
    <n v="0"/>
    <n v="0"/>
    <n v="0"/>
    <x v="0"/>
    <n v="0"/>
    <n v="0"/>
    <n v="0"/>
    <n v="0"/>
    <n v="63.1"/>
  </r>
  <r>
    <x v="1009"/>
    <d v="2025-05-21T00:00:00"/>
    <x v="1"/>
    <s v="South"/>
    <x v="0"/>
    <x v="1"/>
    <x v="1"/>
    <n v="0"/>
    <n v="0"/>
    <n v="0"/>
    <x v="0"/>
    <n v="0"/>
    <n v="0"/>
    <n v="0"/>
    <n v="0"/>
    <n v="56"/>
  </r>
  <r>
    <x v="1010"/>
    <d v="2025-04-10T00:00:00"/>
    <x v="1"/>
    <s v="East"/>
    <x v="0"/>
    <x v="1"/>
    <x v="1"/>
    <n v="1"/>
    <n v="0"/>
    <n v="0"/>
    <x v="0"/>
    <n v="0"/>
    <n v="1"/>
    <n v="0"/>
    <n v="0"/>
    <n v="65.7"/>
  </r>
  <r>
    <x v="1011"/>
    <d v="2025-01-07T00:00:00"/>
    <x v="1"/>
    <s v="North"/>
    <x v="0"/>
    <x v="1"/>
    <x v="2"/>
    <n v="1"/>
    <n v="1"/>
    <n v="1"/>
    <x v="1"/>
    <n v="1938.31"/>
    <n v="1"/>
    <n v="0"/>
    <n v="9"/>
    <n v="60.9"/>
  </r>
  <r>
    <x v="1012"/>
    <d v="2025-02-03T00:00:00"/>
    <x v="1"/>
    <s v="South"/>
    <x v="0"/>
    <x v="4"/>
    <x v="1"/>
    <n v="0"/>
    <n v="0"/>
    <n v="0"/>
    <x v="0"/>
    <n v="0"/>
    <n v="0"/>
    <n v="0"/>
    <n v="0"/>
    <n v="45.5"/>
  </r>
  <r>
    <x v="1013"/>
    <d v="2025-05-18T00:00:00"/>
    <x v="1"/>
    <s v="North"/>
    <x v="1"/>
    <x v="2"/>
    <x v="1"/>
    <n v="1"/>
    <n v="0"/>
    <n v="0"/>
    <x v="0"/>
    <n v="0"/>
    <n v="0"/>
    <n v="0"/>
    <n v="0"/>
    <n v="50"/>
  </r>
  <r>
    <x v="1014"/>
    <d v="2025-01-31T00:00:00"/>
    <x v="1"/>
    <s v="North"/>
    <x v="1"/>
    <x v="3"/>
    <x v="1"/>
    <n v="1"/>
    <n v="0"/>
    <n v="0"/>
    <x v="0"/>
    <n v="0"/>
    <n v="0"/>
    <n v="0"/>
    <n v="0"/>
    <n v="72.099999999999994"/>
  </r>
  <r>
    <x v="1015"/>
    <d v="2025-01-16T00:00:00"/>
    <x v="1"/>
    <s v="South"/>
    <x v="0"/>
    <x v="1"/>
    <x v="0"/>
    <n v="1"/>
    <n v="0"/>
    <n v="0"/>
    <x v="0"/>
    <n v="0"/>
    <n v="0"/>
    <n v="0"/>
    <n v="0"/>
    <n v="76.3"/>
  </r>
  <r>
    <x v="1016"/>
    <d v="2025-05-14T00:00:00"/>
    <x v="1"/>
    <s v="East"/>
    <x v="1"/>
    <x v="2"/>
    <x v="0"/>
    <n v="1"/>
    <n v="1"/>
    <n v="0"/>
    <x v="0"/>
    <n v="0"/>
    <n v="1"/>
    <n v="0"/>
    <n v="0"/>
    <n v="54.8"/>
  </r>
  <r>
    <x v="1017"/>
    <d v="2025-04-01T00:00:00"/>
    <x v="1"/>
    <s v="South"/>
    <x v="1"/>
    <x v="5"/>
    <x v="0"/>
    <n v="1"/>
    <n v="0"/>
    <n v="0"/>
    <x v="0"/>
    <n v="0"/>
    <n v="0"/>
    <n v="0"/>
    <n v="0"/>
    <n v="63.6"/>
  </r>
  <r>
    <x v="1018"/>
    <d v="2025-04-23T00:00:00"/>
    <x v="1"/>
    <s v="South"/>
    <x v="1"/>
    <x v="1"/>
    <x v="1"/>
    <n v="1"/>
    <n v="0"/>
    <n v="0"/>
    <x v="0"/>
    <n v="0"/>
    <n v="0"/>
    <n v="0"/>
    <n v="0"/>
    <n v="68.8"/>
  </r>
  <r>
    <x v="1019"/>
    <d v="2025-03-02T00:00:00"/>
    <x v="1"/>
    <s v="South"/>
    <x v="0"/>
    <x v="2"/>
    <x v="0"/>
    <n v="1"/>
    <n v="0"/>
    <n v="0"/>
    <x v="0"/>
    <n v="0"/>
    <n v="0"/>
    <n v="0"/>
    <n v="0"/>
    <n v="63.2"/>
  </r>
  <r>
    <x v="1020"/>
    <d v="2025-01-02T00:00:00"/>
    <x v="1"/>
    <s v="East"/>
    <x v="1"/>
    <x v="2"/>
    <x v="0"/>
    <n v="0"/>
    <n v="0"/>
    <n v="0"/>
    <x v="0"/>
    <n v="0"/>
    <n v="0"/>
    <n v="0"/>
    <n v="0"/>
    <n v="45"/>
  </r>
  <r>
    <x v="1021"/>
    <d v="2025-05-04T00:00:00"/>
    <x v="1"/>
    <s v="South"/>
    <x v="1"/>
    <x v="1"/>
    <x v="1"/>
    <n v="1"/>
    <n v="0"/>
    <n v="0"/>
    <x v="0"/>
    <n v="0"/>
    <n v="0"/>
    <n v="0"/>
    <n v="0"/>
    <n v="77.400000000000006"/>
  </r>
  <r>
    <x v="1022"/>
    <d v="2025-01-16T00:00:00"/>
    <x v="1"/>
    <s v="East"/>
    <x v="0"/>
    <x v="2"/>
    <x v="0"/>
    <n v="0"/>
    <n v="0"/>
    <n v="0"/>
    <x v="0"/>
    <n v="0"/>
    <n v="0"/>
    <n v="0"/>
    <n v="0"/>
    <n v="53.1"/>
  </r>
  <r>
    <x v="1023"/>
    <d v="2025-02-11T00:00:00"/>
    <x v="1"/>
    <s v="West"/>
    <x v="2"/>
    <x v="2"/>
    <x v="2"/>
    <n v="0"/>
    <n v="0"/>
    <n v="0"/>
    <x v="0"/>
    <n v="0"/>
    <n v="0"/>
    <n v="0"/>
    <n v="0"/>
    <n v="74"/>
  </r>
  <r>
    <x v="1024"/>
    <d v="2025-04-03T00:00:00"/>
    <x v="1"/>
    <s v="North"/>
    <x v="1"/>
    <x v="4"/>
    <x v="2"/>
    <n v="1"/>
    <n v="1"/>
    <n v="1"/>
    <x v="1"/>
    <n v="1906.23"/>
    <n v="0"/>
    <n v="0"/>
    <n v="4"/>
    <n v="84.6"/>
  </r>
  <r>
    <x v="1025"/>
    <d v="2025-03-26T00:00:00"/>
    <x v="1"/>
    <s v="East"/>
    <x v="1"/>
    <x v="3"/>
    <x v="1"/>
    <n v="1"/>
    <n v="0"/>
    <n v="0"/>
    <x v="0"/>
    <n v="0"/>
    <n v="0"/>
    <n v="0"/>
    <n v="0"/>
    <n v="57"/>
  </r>
  <r>
    <x v="1026"/>
    <d v="2025-05-16T00:00:00"/>
    <x v="1"/>
    <s v="South"/>
    <x v="1"/>
    <x v="0"/>
    <x v="2"/>
    <n v="0"/>
    <n v="0"/>
    <n v="0"/>
    <x v="0"/>
    <n v="0"/>
    <n v="0"/>
    <n v="0"/>
    <n v="0"/>
    <n v="46.3"/>
  </r>
  <r>
    <x v="1027"/>
    <d v="2025-04-20T00:00:00"/>
    <x v="1"/>
    <s v="West"/>
    <x v="1"/>
    <x v="4"/>
    <x v="1"/>
    <n v="0"/>
    <n v="0"/>
    <n v="0"/>
    <x v="0"/>
    <n v="0"/>
    <n v="1"/>
    <n v="0"/>
    <n v="0"/>
    <n v="64.400000000000006"/>
  </r>
  <r>
    <x v="1028"/>
    <d v="2025-04-15T00:00:00"/>
    <x v="1"/>
    <s v="West"/>
    <x v="1"/>
    <x v="2"/>
    <x v="1"/>
    <n v="1"/>
    <n v="0"/>
    <n v="0"/>
    <x v="0"/>
    <n v="0"/>
    <n v="2"/>
    <n v="0"/>
    <n v="0"/>
    <n v="61.9"/>
  </r>
  <r>
    <x v="1029"/>
    <d v="2025-01-24T00:00:00"/>
    <x v="1"/>
    <s v="North"/>
    <x v="1"/>
    <x v="1"/>
    <x v="2"/>
    <n v="1"/>
    <n v="1"/>
    <n v="1"/>
    <x v="0"/>
    <n v="0"/>
    <n v="0"/>
    <n v="0"/>
    <n v="0"/>
    <n v="93.7"/>
  </r>
  <r>
    <x v="1030"/>
    <d v="2025-04-11T00:00:00"/>
    <x v="1"/>
    <s v="South"/>
    <x v="1"/>
    <x v="3"/>
    <x v="0"/>
    <n v="0"/>
    <n v="0"/>
    <n v="0"/>
    <x v="0"/>
    <n v="0"/>
    <n v="0"/>
    <n v="0"/>
    <n v="0"/>
    <n v="61.6"/>
  </r>
  <r>
    <x v="1031"/>
    <d v="2025-05-19T00:00:00"/>
    <x v="1"/>
    <s v="North"/>
    <x v="1"/>
    <x v="2"/>
    <x v="1"/>
    <n v="1"/>
    <n v="0"/>
    <n v="0"/>
    <x v="0"/>
    <n v="0"/>
    <n v="0"/>
    <n v="0"/>
    <n v="0"/>
    <n v="72.2"/>
  </r>
  <r>
    <x v="1032"/>
    <d v="2025-01-14T00:00:00"/>
    <x v="1"/>
    <s v="North"/>
    <x v="1"/>
    <x v="1"/>
    <x v="0"/>
    <n v="0"/>
    <n v="0"/>
    <n v="0"/>
    <x v="0"/>
    <n v="0"/>
    <n v="0"/>
    <n v="0"/>
    <n v="0"/>
    <n v="69.5"/>
  </r>
  <r>
    <x v="1033"/>
    <d v="2025-02-28T00:00:00"/>
    <x v="1"/>
    <s v="East"/>
    <x v="0"/>
    <x v="1"/>
    <x v="0"/>
    <n v="0"/>
    <n v="0"/>
    <n v="0"/>
    <x v="0"/>
    <n v="0"/>
    <n v="0"/>
    <n v="0"/>
    <n v="0"/>
    <n v="59.7"/>
  </r>
  <r>
    <x v="1034"/>
    <d v="2025-05-18T00:00:00"/>
    <x v="1"/>
    <s v="East"/>
    <x v="2"/>
    <x v="2"/>
    <x v="0"/>
    <n v="1"/>
    <n v="0"/>
    <n v="0"/>
    <x v="0"/>
    <n v="0"/>
    <n v="0"/>
    <n v="0"/>
    <n v="0"/>
    <n v="73.900000000000006"/>
  </r>
  <r>
    <x v="1035"/>
    <d v="2025-01-04T00:00:00"/>
    <x v="1"/>
    <s v="North"/>
    <x v="1"/>
    <x v="4"/>
    <x v="1"/>
    <n v="0"/>
    <n v="0"/>
    <n v="0"/>
    <x v="0"/>
    <n v="0"/>
    <n v="0"/>
    <n v="0"/>
    <n v="0"/>
    <n v="41.5"/>
  </r>
  <r>
    <x v="1036"/>
    <d v="2025-01-16T00:00:00"/>
    <x v="1"/>
    <s v="West"/>
    <x v="1"/>
    <x v="4"/>
    <x v="2"/>
    <n v="1"/>
    <n v="0"/>
    <n v="0"/>
    <x v="0"/>
    <n v="0"/>
    <n v="0"/>
    <n v="0"/>
    <n v="0"/>
    <n v="82.8"/>
  </r>
  <r>
    <x v="1037"/>
    <d v="2025-03-14T00:00:00"/>
    <x v="1"/>
    <s v="West"/>
    <x v="1"/>
    <x v="4"/>
    <x v="2"/>
    <n v="1"/>
    <n v="0"/>
    <n v="0"/>
    <x v="0"/>
    <n v="0"/>
    <n v="3"/>
    <n v="0"/>
    <n v="0"/>
    <n v="70.2"/>
  </r>
  <r>
    <x v="1038"/>
    <d v="2025-01-23T00:00:00"/>
    <x v="1"/>
    <s v="East"/>
    <x v="1"/>
    <x v="2"/>
    <x v="0"/>
    <n v="1"/>
    <n v="0"/>
    <n v="0"/>
    <x v="0"/>
    <n v="0"/>
    <n v="1"/>
    <n v="0"/>
    <n v="0"/>
    <n v="69.400000000000006"/>
  </r>
  <r>
    <x v="1039"/>
    <d v="2025-02-03T00:00:00"/>
    <x v="1"/>
    <s v="North"/>
    <x v="0"/>
    <x v="1"/>
    <x v="0"/>
    <n v="1"/>
    <n v="0"/>
    <n v="0"/>
    <x v="0"/>
    <n v="0"/>
    <n v="0"/>
    <n v="0"/>
    <n v="0"/>
    <n v="60.4"/>
  </r>
  <r>
    <x v="1040"/>
    <d v="2025-05-16T00:00:00"/>
    <x v="1"/>
    <s v="East"/>
    <x v="1"/>
    <x v="3"/>
    <x v="1"/>
    <n v="1"/>
    <n v="0"/>
    <n v="0"/>
    <x v="0"/>
    <n v="0"/>
    <n v="0"/>
    <n v="0"/>
    <n v="0"/>
    <n v="45.7"/>
  </r>
  <r>
    <x v="1041"/>
    <d v="2025-01-11T00:00:00"/>
    <x v="1"/>
    <s v="West"/>
    <x v="1"/>
    <x v="1"/>
    <x v="0"/>
    <n v="0"/>
    <n v="0"/>
    <n v="0"/>
    <x v="0"/>
    <n v="0"/>
    <n v="1"/>
    <n v="0"/>
    <n v="0"/>
    <n v="42.2"/>
  </r>
  <r>
    <x v="1042"/>
    <d v="2025-05-25T00:00:00"/>
    <x v="1"/>
    <s v="North"/>
    <x v="0"/>
    <x v="1"/>
    <x v="1"/>
    <n v="0"/>
    <n v="0"/>
    <n v="0"/>
    <x v="0"/>
    <n v="0"/>
    <n v="2"/>
    <n v="0"/>
    <n v="0"/>
    <n v="61.9"/>
  </r>
  <r>
    <x v="1043"/>
    <d v="2025-05-08T00:00:00"/>
    <x v="1"/>
    <s v="East"/>
    <x v="1"/>
    <x v="2"/>
    <x v="2"/>
    <n v="0"/>
    <n v="0"/>
    <n v="0"/>
    <x v="0"/>
    <n v="0"/>
    <n v="0"/>
    <n v="0"/>
    <n v="0"/>
    <n v="44.9"/>
  </r>
  <r>
    <x v="1044"/>
    <d v="2025-02-26T00:00:00"/>
    <x v="1"/>
    <s v="East"/>
    <x v="0"/>
    <x v="5"/>
    <x v="0"/>
    <n v="1"/>
    <n v="0"/>
    <n v="0"/>
    <x v="0"/>
    <n v="0"/>
    <n v="0"/>
    <n v="0"/>
    <n v="0"/>
    <n v="68"/>
  </r>
  <r>
    <x v="1045"/>
    <d v="2025-03-30T00:00:00"/>
    <x v="1"/>
    <s v="North"/>
    <x v="1"/>
    <x v="2"/>
    <x v="1"/>
    <n v="1"/>
    <n v="0"/>
    <n v="0"/>
    <x v="0"/>
    <n v="0"/>
    <n v="0"/>
    <n v="0"/>
    <n v="0"/>
    <n v="61"/>
  </r>
  <r>
    <x v="1046"/>
    <d v="2025-04-13T00:00:00"/>
    <x v="1"/>
    <s v="West"/>
    <x v="1"/>
    <x v="1"/>
    <x v="0"/>
    <n v="1"/>
    <n v="0"/>
    <n v="0"/>
    <x v="0"/>
    <n v="0"/>
    <n v="0"/>
    <n v="0"/>
    <n v="0"/>
    <n v="55"/>
  </r>
  <r>
    <x v="1047"/>
    <d v="2025-02-20T00:00:00"/>
    <x v="1"/>
    <s v="East"/>
    <x v="3"/>
    <x v="2"/>
    <x v="0"/>
    <n v="1"/>
    <n v="0"/>
    <n v="0"/>
    <x v="0"/>
    <n v="0"/>
    <n v="0"/>
    <n v="0"/>
    <n v="0"/>
    <n v="63.1"/>
  </r>
  <r>
    <x v="1048"/>
    <d v="2025-04-19T00:00:00"/>
    <x v="1"/>
    <s v="West"/>
    <x v="0"/>
    <x v="4"/>
    <x v="1"/>
    <n v="1"/>
    <n v="0"/>
    <n v="0"/>
    <x v="0"/>
    <n v="0"/>
    <n v="0"/>
    <n v="0"/>
    <n v="0"/>
    <n v="75.8"/>
  </r>
  <r>
    <x v="1049"/>
    <d v="2025-03-22T00:00:00"/>
    <x v="1"/>
    <s v="South"/>
    <x v="1"/>
    <x v="2"/>
    <x v="1"/>
    <n v="1"/>
    <n v="1"/>
    <n v="0"/>
    <x v="0"/>
    <n v="0"/>
    <n v="1"/>
    <n v="0"/>
    <n v="0"/>
    <n v="43.8"/>
  </r>
  <r>
    <x v="1050"/>
    <d v="2025-02-28T00:00:00"/>
    <x v="1"/>
    <s v="North"/>
    <x v="1"/>
    <x v="0"/>
    <x v="0"/>
    <n v="1"/>
    <n v="1"/>
    <n v="0"/>
    <x v="0"/>
    <n v="0"/>
    <n v="0"/>
    <n v="0"/>
    <n v="0"/>
    <n v="46.8"/>
  </r>
  <r>
    <x v="1051"/>
    <d v="2025-05-24T00:00:00"/>
    <x v="1"/>
    <s v="East"/>
    <x v="1"/>
    <x v="4"/>
    <x v="1"/>
    <n v="1"/>
    <n v="1"/>
    <n v="1"/>
    <x v="0"/>
    <n v="0"/>
    <n v="0"/>
    <n v="0"/>
    <n v="0"/>
    <n v="97.4"/>
  </r>
  <r>
    <x v="1052"/>
    <d v="2025-02-03T00:00:00"/>
    <x v="1"/>
    <s v="North"/>
    <x v="0"/>
    <x v="0"/>
    <x v="1"/>
    <n v="1"/>
    <n v="1"/>
    <n v="1"/>
    <x v="1"/>
    <n v="268.95999999999998"/>
    <n v="0"/>
    <n v="0"/>
    <n v="14"/>
    <n v="81"/>
  </r>
  <r>
    <x v="1053"/>
    <d v="2025-01-27T00:00:00"/>
    <x v="1"/>
    <s v="South"/>
    <x v="1"/>
    <x v="1"/>
    <x v="1"/>
    <n v="1"/>
    <n v="0"/>
    <n v="0"/>
    <x v="0"/>
    <n v="0"/>
    <n v="1"/>
    <n v="0"/>
    <n v="0"/>
    <n v="58.9"/>
  </r>
  <r>
    <x v="1054"/>
    <d v="2025-04-17T00:00:00"/>
    <x v="1"/>
    <s v="East"/>
    <x v="1"/>
    <x v="1"/>
    <x v="1"/>
    <n v="1"/>
    <n v="0"/>
    <n v="0"/>
    <x v="0"/>
    <n v="0"/>
    <n v="0"/>
    <n v="0"/>
    <n v="0"/>
    <n v="51.9"/>
  </r>
  <r>
    <x v="1055"/>
    <d v="2025-02-06T00:00:00"/>
    <x v="1"/>
    <s v="West"/>
    <x v="1"/>
    <x v="4"/>
    <x v="1"/>
    <n v="1"/>
    <n v="1"/>
    <n v="0"/>
    <x v="0"/>
    <n v="0"/>
    <n v="0"/>
    <n v="0"/>
    <n v="0"/>
    <n v="61.7"/>
  </r>
  <r>
    <x v="1056"/>
    <d v="2025-04-20T00:00:00"/>
    <x v="1"/>
    <s v="South"/>
    <x v="1"/>
    <x v="2"/>
    <x v="1"/>
    <n v="1"/>
    <n v="0"/>
    <n v="0"/>
    <x v="0"/>
    <n v="0"/>
    <n v="0"/>
    <n v="0"/>
    <n v="0"/>
    <n v="44.7"/>
  </r>
  <r>
    <x v="1057"/>
    <d v="2025-05-06T00:00:00"/>
    <x v="1"/>
    <s v="North"/>
    <x v="1"/>
    <x v="2"/>
    <x v="0"/>
    <n v="0"/>
    <n v="0"/>
    <n v="0"/>
    <x v="0"/>
    <n v="0"/>
    <n v="0"/>
    <n v="0"/>
    <n v="0"/>
    <n v="63.2"/>
  </r>
  <r>
    <x v="1058"/>
    <d v="2025-05-16T00:00:00"/>
    <x v="1"/>
    <s v="South"/>
    <x v="1"/>
    <x v="1"/>
    <x v="1"/>
    <n v="1"/>
    <n v="0"/>
    <n v="0"/>
    <x v="0"/>
    <n v="0"/>
    <n v="0"/>
    <n v="0"/>
    <n v="0"/>
    <n v="70.3"/>
  </r>
  <r>
    <x v="1059"/>
    <d v="2025-03-02T00:00:00"/>
    <x v="1"/>
    <s v="South"/>
    <x v="1"/>
    <x v="2"/>
    <x v="2"/>
    <n v="1"/>
    <n v="1"/>
    <n v="0"/>
    <x v="0"/>
    <n v="0"/>
    <n v="1"/>
    <n v="0"/>
    <n v="0"/>
    <n v="83.1"/>
  </r>
  <r>
    <x v="1060"/>
    <d v="2025-04-09T00:00:00"/>
    <x v="1"/>
    <s v="West"/>
    <x v="1"/>
    <x v="4"/>
    <x v="1"/>
    <n v="0"/>
    <n v="0"/>
    <n v="0"/>
    <x v="0"/>
    <n v="0"/>
    <n v="0"/>
    <n v="0"/>
    <n v="0"/>
    <n v="50.3"/>
  </r>
  <r>
    <x v="1061"/>
    <d v="2025-01-26T00:00:00"/>
    <x v="1"/>
    <s v="East"/>
    <x v="1"/>
    <x v="2"/>
    <x v="1"/>
    <n v="1"/>
    <n v="1"/>
    <n v="1"/>
    <x v="1"/>
    <n v="437.09"/>
    <n v="2"/>
    <n v="1"/>
    <n v="1"/>
    <n v="58.2"/>
  </r>
  <r>
    <x v="1062"/>
    <d v="2025-02-25T00:00:00"/>
    <x v="1"/>
    <s v="South"/>
    <x v="1"/>
    <x v="2"/>
    <x v="0"/>
    <n v="1"/>
    <n v="1"/>
    <n v="1"/>
    <x v="0"/>
    <n v="0"/>
    <n v="0"/>
    <n v="0"/>
    <n v="0"/>
    <n v="53.2"/>
  </r>
  <r>
    <x v="1063"/>
    <d v="2025-01-07T00:00:00"/>
    <x v="1"/>
    <s v="East"/>
    <x v="1"/>
    <x v="1"/>
    <x v="2"/>
    <n v="0"/>
    <n v="0"/>
    <n v="0"/>
    <x v="0"/>
    <n v="0"/>
    <n v="0"/>
    <n v="0"/>
    <n v="0"/>
    <n v="36.4"/>
  </r>
  <r>
    <x v="1064"/>
    <d v="2025-03-08T00:00:00"/>
    <x v="1"/>
    <s v="South"/>
    <x v="1"/>
    <x v="4"/>
    <x v="0"/>
    <n v="1"/>
    <n v="1"/>
    <n v="1"/>
    <x v="0"/>
    <n v="0"/>
    <n v="0"/>
    <n v="0"/>
    <n v="0"/>
    <n v="72.7"/>
  </r>
  <r>
    <x v="1065"/>
    <d v="2025-05-22T00:00:00"/>
    <x v="1"/>
    <s v="East"/>
    <x v="1"/>
    <x v="3"/>
    <x v="1"/>
    <n v="1"/>
    <n v="0"/>
    <n v="0"/>
    <x v="0"/>
    <n v="0"/>
    <n v="1"/>
    <n v="0"/>
    <n v="0"/>
    <n v="86.7"/>
  </r>
  <r>
    <x v="1066"/>
    <d v="2025-04-18T00:00:00"/>
    <x v="1"/>
    <s v="East"/>
    <x v="1"/>
    <x v="2"/>
    <x v="2"/>
    <n v="1"/>
    <n v="0"/>
    <n v="0"/>
    <x v="0"/>
    <n v="0"/>
    <n v="0"/>
    <n v="0"/>
    <n v="0"/>
    <n v="48.2"/>
  </r>
  <r>
    <x v="1067"/>
    <d v="2025-02-24T00:00:00"/>
    <x v="1"/>
    <s v="West"/>
    <x v="1"/>
    <x v="3"/>
    <x v="0"/>
    <n v="0"/>
    <n v="0"/>
    <n v="0"/>
    <x v="0"/>
    <n v="0"/>
    <n v="1"/>
    <n v="0"/>
    <n v="0"/>
    <n v="57.6"/>
  </r>
  <r>
    <x v="1068"/>
    <d v="2025-02-11T00:00:00"/>
    <x v="1"/>
    <s v="North"/>
    <x v="1"/>
    <x v="1"/>
    <x v="1"/>
    <n v="1"/>
    <n v="1"/>
    <n v="1"/>
    <x v="0"/>
    <n v="0"/>
    <n v="0"/>
    <n v="0"/>
    <n v="0"/>
    <n v="75.7"/>
  </r>
  <r>
    <x v="1069"/>
    <d v="2025-03-11T00:00:00"/>
    <x v="1"/>
    <s v="West"/>
    <x v="0"/>
    <x v="2"/>
    <x v="1"/>
    <n v="1"/>
    <n v="0"/>
    <n v="0"/>
    <x v="0"/>
    <n v="0"/>
    <n v="2"/>
    <n v="0"/>
    <n v="0"/>
    <n v="48.6"/>
  </r>
  <r>
    <x v="1070"/>
    <d v="2025-04-11T00:00:00"/>
    <x v="1"/>
    <s v="East"/>
    <x v="2"/>
    <x v="3"/>
    <x v="1"/>
    <n v="1"/>
    <n v="1"/>
    <n v="1"/>
    <x v="0"/>
    <n v="0"/>
    <n v="0"/>
    <n v="0"/>
    <n v="0"/>
    <n v="72"/>
  </r>
  <r>
    <x v="1071"/>
    <d v="2025-03-11T00:00:00"/>
    <x v="1"/>
    <s v="North"/>
    <x v="1"/>
    <x v="1"/>
    <x v="1"/>
    <n v="0"/>
    <n v="0"/>
    <n v="0"/>
    <x v="0"/>
    <n v="0"/>
    <n v="0"/>
    <n v="0"/>
    <n v="0"/>
    <n v="72.2"/>
  </r>
  <r>
    <x v="1072"/>
    <d v="2025-05-22T00:00:00"/>
    <x v="1"/>
    <s v="East"/>
    <x v="1"/>
    <x v="3"/>
    <x v="1"/>
    <n v="1"/>
    <n v="0"/>
    <n v="0"/>
    <x v="0"/>
    <n v="0"/>
    <n v="1"/>
    <n v="0"/>
    <n v="0"/>
    <n v="0"/>
  </r>
  <r>
    <x v="1073"/>
    <d v="2025-02-22T00:00:00"/>
    <x v="1"/>
    <s v="South"/>
    <x v="0"/>
    <x v="1"/>
    <x v="1"/>
    <n v="1"/>
    <n v="1"/>
    <n v="1"/>
    <x v="1"/>
    <n v="331.53"/>
    <n v="2"/>
    <n v="0"/>
    <n v="4"/>
    <n v="56.8"/>
  </r>
  <r>
    <x v="1074"/>
    <d v="2025-01-13T00:00:00"/>
    <x v="1"/>
    <s v="East"/>
    <x v="1"/>
    <x v="2"/>
    <x v="0"/>
    <n v="1"/>
    <n v="0"/>
    <n v="0"/>
    <x v="0"/>
    <n v="0"/>
    <n v="0"/>
    <n v="0"/>
    <n v="0"/>
    <n v="62.5"/>
  </r>
  <r>
    <x v="1075"/>
    <d v="2025-05-19T00:00:00"/>
    <x v="1"/>
    <s v="South"/>
    <x v="1"/>
    <x v="1"/>
    <x v="1"/>
    <n v="1"/>
    <n v="0"/>
    <n v="0"/>
    <x v="0"/>
    <n v="0"/>
    <n v="0"/>
    <n v="0"/>
    <n v="0"/>
    <n v="63.4"/>
  </r>
  <r>
    <x v="1076"/>
    <d v="2025-03-08T00:00:00"/>
    <x v="1"/>
    <s v="North"/>
    <x v="2"/>
    <x v="1"/>
    <x v="0"/>
    <n v="1"/>
    <n v="1"/>
    <n v="1"/>
    <x v="1"/>
    <n v="774.78"/>
    <n v="0"/>
    <n v="0"/>
    <n v="3"/>
    <n v="46.8"/>
  </r>
  <r>
    <x v="1077"/>
    <d v="2025-04-20T00:00:00"/>
    <x v="1"/>
    <s v="South"/>
    <x v="1"/>
    <x v="1"/>
    <x v="1"/>
    <n v="1"/>
    <n v="1"/>
    <n v="1"/>
    <x v="1"/>
    <n v="422.02"/>
    <n v="0"/>
    <n v="0"/>
    <n v="8"/>
    <n v="86.5"/>
  </r>
  <r>
    <x v="1078"/>
    <d v="2025-05-08T00:00:00"/>
    <x v="1"/>
    <s v="West"/>
    <x v="1"/>
    <x v="0"/>
    <x v="0"/>
    <n v="0"/>
    <n v="0"/>
    <n v="0"/>
    <x v="0"/>
    <n v="0"/>
    <n v="1"/>
    <n v="0"/>
    <n v="0"/>
    <n v="75.099999999999994"/>
  </r>
  <r>
    <x v="1079"/>
    <d v="2025-05-10T00:00:00"/>
    <x v="1"/>
    <s v="South"/>
    <x v="1"/>
    <x v="1"/>
    <x v="0"/>
    <n v="1"/>
    <n v="0"/>
    <n v="0"/>
    <x v="0"/>
    <n v="0"/>
    <n v="0"/>
    <n v="0"/>
    <n v="0"/>
    <n v="64.5"/>
  </r>
  <r>
    <x v="1080"/>
    <d v="2025-03-28T00:00:00"/>
    <x v="1"/>
    <s v="East"/>
    <x v="1"/>
    <x v="1"/>
    <x v="1"/>
    <n v="1"/>
    <n v="0"/>
    <n v="0"/>
    <x v="0"/>
    <n v="0"/>
    <n v="0"/>
    <n v="0"/>
    <n v="0"/>
    <n v="54.2"/>
  </r>
  <r>
    <x v="1081"/>
    <d v="2025-04-30T00:00:00"/>
    <x v="1"/>
    <s v="East"/>
    <x v="1"/>
    <x v="2"/>
    <x v="2"/>
    <n v="1"/>
    <n v="1"/>
    <n v="1"/>
    <x v="0"/>
    <n v="0"/>
    <n v="0"/>
    <n v="0"/>
    <n v="0"/>
    <n v="84.1"/>
  </r>
  <r>
    <x v="1082"/>
    <d v="2025-02-08T00:00:00"/>
    <x v="1"/>
    <s v="North"/>
    <x v="1"/>
    <x v="1"/>
    <x v="0"/>
    <n v="0"/>
    <n v="0"/>
    <n v="0"/>
    <x v="0"/>
    <n v="0"/>
    <n v="1"/>
    <n v="0"/>
    <n v="0"/>
    <n v="49.1"/>
  </r>
  <r>
    <x v="1083"/>
    <d v="2025-03-07T00:00:00"/>
    <x v="1"/>
    <s v="South"/>
    <x v="1"/>
    <x v="3"/>
    <x v="2"/>
    <n v="0"/>
    <n v="0"/>
    <n v="0"/>
    <x v="0"/>
    <n v="0"/>
    <n v="0"/>
    <n v="0"/>
    <n v="0"/>
    <n v="92.7"/>
  </r>
  <r>
    <x v="1084"/>
    <d v="2025-05-21T00:00:00"/>
    <x v="1"/>
    <s v="South"/>
    <x v="1"/>
    <x v="4"/>
    <x v="0"/>
    <n v="1"/>
    <n v="1"/>
    <n v="1"/>
    <x v="0"/>
    <n v="0"/>
    <n v="1"/>
    <n v="0"/>
    <n v="0"/>
    <n v="58.7"/>
  </r>
  <r>
    <x v="1085"/>
    <d v="2025-04-12T00:00:00"/>
    <x v="1"/>
    <s v="South"/>
    <x v="1"/>
    <x v="4"/>
    <x v="1"/>
    <n v="1"/>
    <n v="1"/>
    <n v="1"/>
    <x v="0"/>
    <n v="0"/>
    <n v="0"/>
    <n v="0"/>
    <n v="0"/>
    <n v="59.3"/>
  </r>
  <r>
    <x v="1086"/>
    <d v="2025-02-02T00:00:00"/>
    <x v="1"/>
    <s v="South"/>
    <x v="1"/>
    <x v="2"/>
    <x v="1"/>
    <n v="1"/>
    <n v="0"/>
    <n v="0"/>
    <x v="0"/>
    <n v="0"/>
    <n v="0"/>
    <n v="0"/>
    <n v="0"/>
    <n v="62"/>
  </r>
  <r>
    <x v="1087"/>
    <d v="2025-04-22T00:00:00"/>
    <x v="1"/>
    <s v="North"/>
    <x v="2"/>
    <x v="3"/>
    <x v="1"/>
    <n v="1"/>
    <n v="1"/>
    <n v="1"/>
    <x v="0"/>
    <n v="0"/>
    <n v="1"/>
    <n v="0"/>
    <n v="0"/>
    <n v="60.3"/>
  </r>
  <r>
    <x v="1088"/>
    <d v="2025-02-08T00:00:00"/>
    <x v="1"/>
    <s v="North"/>
    <x v="1"/>
    <x v="4"/>
    <x v="0"/>
    <n v="1"/>
    <n v="0"/>
    <n v="0"/>
    <x v="0"/>
    <n v="0"/>
    <n v="0"/>
    <n v="0"/>
    <n v="0"/>
    <n v="70.5"/>
  </r>
  <r>
    <x v="1089"/>
    <d v="2025-01-24T00:00:00"/>
    <x v="1"/>
    <s v="South"/>
    <x v="0"/>
    <x v="0"/>
    <x v="1"/>
    <n v="1"/>
    <n v="0"/>
    <n v="0"/>
    <x v="0"/>
    <n v="0"/>
    <n v="0"/>
    <n v="0"/>
    <n v="0"/>
    <n v="36.799999999999997"/>
  </r>
  <r>
    <x v="1090"/>
    <d v="2025-05-12T00:00:00"/>
    <x v="1"/>
    <s v="South"/>
    <x v="1"/>
    <x v="2"/>
    <x v="0"/>
    <n v="0"/>
    <n v="0"/>
    <n v="0"/>
    <x v="0"/>
    <n v="0"/>
    <n v="1"/>
    <n v="0"/>
    <n v="0"/>
    <n v="73.2"/>
  </r>
  <r>
    <x v="1091"/>
    <d v="2025-03-30T00:00:00"/>
    <x v="1"/>
    <s v="North"/>
    <x v="1"/>
    <x v="1"/>
    <x v="0"/>
    <n v="0"/>
    <n v="0"/>
    <n v="0"/>
    <x v="0"/>
    <n v="0"/>
    <n v="0"/>
    <n v="0"/>
    <n v="0"/>
    <n v="70.099999999999994"/>
  </r>
  <r>
    <x v="1092"/>
    <d v="2025-01-02T00:00:00"/>
    <x v="1"/>
    <s v="South"/>
    <x v="0"/>
    <x v="2"/>
    <x v="0"/>
    <n v="1"/>
    <n v="0"/>
    <n v="0"/>
    <x v="0"/>
    <n v="0"/>
    <n v="0"/>
    <n v="0"/>
    <n v="0"/>
    <n v="76.400000000000006"/>
  </r>
  <r>
    <x v="1093"/>
    <d v="2025-03-21T00:00:00"/>
    <x v="1"/>
    <s v="South"/>
    <x v="2"/>
    <x v="0"/>
    <x v="0"/>
    <n v="0"/>
    <n v="0"/>
    <n v="0"/>
    <x v="0"/>
    <n v="0"/>
    <n v="0"/>
    <n v="0"/>
    <n v="0"/>
    <n v="46.4"/>
  </r>
  <r>
    <x v="1094"/>
    <d v="2025-01-25T00:00:00"/>
    <x v="1"/>
    <s v="West"/>
    <x v="1"/>
    <x v="1"/>
    <x v="1"/>
    <n v="1"/>
    <n v="1"/>
    <n v="1"/>
    <x v="0"/>
    <n v="0"/>
    <n v="1"/>
    <n v="0"/>
    <n v="0"/>
    <n v="81.3"/>
  </r>
  <r>
    <x v="1095"/>
    <d v="2025-01-12T00:00:00"/>
    <x v="1"/>
    <s v="South"/>
    <x v="2"/>
    <x v="4"/>
    <x v="1"/>
    <n v="1"/>
    <n v="1"/>
    <n v="1"/>
    <x v="0"/>
    <n v="0"/>
    <n v="0"/>
    <n v="0"/>
    <n v="0"/>
    <n v="55.3"/>
  </r>
  <r>
    <x v="1096"/>
    <d v="2025-03-18T00:00:00"/>
    <x v="1"/>
    <s v="East"/>
    <x v="0"/>
    <x v="3"/>
    <x v="1"/>
    <n v="1"/>
    <n v="0"/>
    <n v="0"/>
    <x v="0"/>
    <n v="0"/>
    <n v="0"/>
    <n v="0"/>
    <n v="0"/>
    <n v="44.7"/>
  </r>
  <r>
    <x v="1097"/>
    <d v="2025-03-26T00:00:00"/>
    <x v="1"/>
    <s v="East"/>
    <x v="1"/>
    <x v="2"/>
    <x v="0"/>
    <n v="1"/>
    <n v="0"/>
    <n v="0"/>
    <x v="0"/>
    <n v="0"/>
    <n v="0"/>
    <n v="0"/>
    <n v="0"/>
    <n v="67.2"/>
  </r>
  <r>
    <x v="1098"/>
    <d v="2025-04-19T00:00:00"/>
    <x v="1"/>
    <s v="North"/>
    <x v="1"/>
    <x v="2"/>
    <x v="0"/>
    <n v="1"/>
    <n v="0"/>
    <n v="0"/>
    <x v="0"/>
    <n v="0"/>
    <n v="0"/>
    <n v="0"/>
    <n v="0"/>
    <n v="0"/>
  </r>
  <r>
    <x v="1099"/>
    <d v="2025-04-17T00:00:00"/>
    <x v="1"/>
    <s v="East"/>
    <x v="1"/>
    <x v="1"/>
    <x v="2"/>
    <n v="1"/>
    <n v="1"/>
    <n v="1"/>
    <x v="0"/>
    <n v="0"/>
    <n v="1"/>
    <n v="0"/>
    <n v="0"/>
    <n v="70.8"/>
  </r>
  <r>
    <x v="1100"/>
    <d v="2025-05-26T00:00:00"/>
    <x v="1"/>
    <s v="South"/>
    <x v="1"/>
    <x v="2"/>
    <x v="1"/>
    <n v="1"/>
    <n v="0"/>
    <n v="0"/>
    <x v="0"/>
    <n v="0"/>
    <n v="0"/>
    <n v="0"/>
    <n v="0"/>
    <n v="71.3"/>
  </r>
  <r>
    <x v="1101"/>
    <d v="2025-04-14T00:00:00"/>
    <x v="1"/>
    <s v="North"/>
    <x v="1"/>
    <x v="4"/>
    <x v="2"/>
    <n v="1"/>
    <n v="1"/>
    <n v="1"/>
    <x v="0"/>
    <n v="0"/>
    <n v="0"/>
    <n v="0"/>
    <n v="0"/>
    <n v="69.400000000000006"/>
  </r>
  <r>
    <x v="1102"/>
    <d v="2025-01-23T00:00:00"/>
    <x v="1"/>
    <s v="South"/>
    <x v="1"/>
    <x v="1"/>
    <x v="0"/>
    <n v="1"/>
    <n v="1"/>
    <n v="0"/>
    <x v="0"/>
    <n v="0"/>
    <n v="0"/>
    <n v="0"/>
    <n v="0"/>
    <n v="58.9"/>
  </r>
  <r>
    <x v="1103"/>
    <d v="2025-01-06T00:00:00"/>
    <x v="1"/>
    <s v="East"/>
    <x v="1"/>
    <x v="3"/>
    <x v="1"/>
    <n v="0"/>
    <n v="0"/>
    <n v="0"/>
    <x v="0"/>
    <n v="0"/>
    <n v="0"/>
    <n v="0"/>
    <n v="0"/>
    <n v="70.7"/>
  </r>
  <r>
    <x v="1104"/>
    <d v="2025-05-31T00:00:00"/>
    <x v="1"/>
    <s v="West"/>
    <x v="1"/>
    <x v="0"/>
    <x v="0"/>
    <n v="1"/>
    <n v="0"/>
    <n v="0"/>
    <x v="0"/>
    <n v="0"/>
    <n v="0"/>
    <n v="0"/>
    <n v="0"/>
    <n v="60.5"/>
  </r>
  <r>
    <x v="1105"/>
    <d v="2025-05-19T00:00:00"/>
    <x v="1"/>
    <s v="North"/>
    <x v="1"/>
    <x v="1"/>
    <x v="0"/>
    <n v="1"/>
    <n v="1"/>
    <n v="1"/>
    <x v="0"/>
    <n v="0"/>
    <n v="0"/>
    <n v="0"/>
    <n v="0"/>
    <n v="77.3"/>
  </r>
  <r>
    <x v="1106"/>
    <d v="2025-02-25T00:00:00"/>
    <x v="1"/>
    <s v="North"/>
    <x v="1"/>
    <x v="1"/>
    <x v="1"/>
    <n v="0"/>
    <n v="0"/>
    <n v="0"/>
    <x v="0"/>
    <n v="0"/>
    <n v="1"/>
    <n v="0"/>
    <n v="0"/>
    <n v="39.5"/>
  </r>
  <r>
    <x v="1107"/>
    <d v="2025-01-10T00:00:00"/>
    <x v="1"/>
    <s v="South"/>
    <x v="2"/>
    <x v="1"/>
    <x v="0"/>
    <n v="1"/>
    <n v="0"/>
    <n v="0"/>
    <x v="0"/>
    <n v="0"/>
    <n v="0"/>
    <n v="0"/>
    <n v="0"/>
    <n v="68.099999999999994"/>
  </r>
  <r>
    <x v="1108"/>
    <d v="2025-05-13T00:00:00"/>
    <x v="1"/>
    <s v="North"/>
    <x v="2"/>
    <x v="2"/>
    <x v="1"/>
    <n v="0"/>
    <n v="0"/>
    <n v="0"/>
    <x v="0"/>
    <n v="0"/>
    <n v="0"/>
    <n v="0"/>
    <n v="0"/>
    <n v="80.3"/>
  </r>
  <r>
    <x v="1109"/>
    <d v="2025-04-27T00:00:00"/>
    <x v="1"/>
    <s v="West"/>
    <x v="0"/>
    <x v="1"/>
    <x v="2"/>
    <n v="1"/>
    <n v="0"/>
    <n v="0"/>
    <x v="0"/>
    <n v="0"/>
    <n v="0"/>
    <n v="0"/>
    <n v="0"/>
    <n v="77.7"/>
  </r>
  <r>
    <x v="1110"/>
    <d v="2025-04-03T00:00:00"/>
    <x v="1"/>
    <s v="South"/>
    <x v="1"/>
    <x v="1"/>
    <x v="1"/>
    <n v="1"/>
    <n v="0"/>
    <n v="0"/>
    <x v="0"/>
    <n v="0"/>
    <n v="1"/>
    <n v="0"/>
    <n v="0"/>
    <n v="66.2"/>
  </r>
  <r>
    <x v="1111"/>
    <d v="2025-03-26T00:00:00"/>
    <x v="1"/>
    <s v="South"/>
    <x v="1"/>
    <x v="1"/>
    <x v="1"/>
    <n v="1"/>
    <n v="1"/>
    <n v="1"/>
    <x v="0"/>
    <n v="0"/>
    <n v="1"/>
    <n v="0"/>
    <n v="0"/>
    <n v="43.9"/>
  </r>
  <r>
    <x v="1112"/>
    <d v="2025-01-31T00:00:00"/>
    <x v="1"/>
    <s v="South"/>
    <x v="1"/>
    <x v="1"/>
    <x v="0"/>
    <n v="1"/>
    <n v="1"/>
    <n v="1"/>
    <x v="0"/>
    <n v="0"/>
    <n v="2"/>
    <n v="0"/>
    <n v="0"/>
    <n v="59.1"/>
  </r>
  <r>
    <x v="1113"/>
    <d v="2025-01-25T00:00:00"/>
    <x v="1"/>
    <s v="South"/>
    <x v="1"/>
    <x v="4"/>
    <x v="1"/>
    <n v="1"/>
    <n v="1"/>
    <n v="1"/>
    <x v="1"/>
    <n v="416.94"/>
    <n v="1"/>
    <n v="0"/>
    <n v="11"/>
    <n v="67"/>
  </r>
  <r>
    <x v="1114"/>
    <d v="2025-02-06T00:00:00"/>
    <x v="1"/>
    <s v="West"/>
    <x v="1"/>
    <x v="3"/>
    <x v="0"/>
    <n v="1"/>
    <n v="0"/>
    <n v="0"/>
    <x v="0"/>
    <n v="0"/>
    <n v="0"/>
    <n v="0"/>
    <n v="0"/>
    <n v="47.9"/>
  </r>
  <r>
    <x v="1115"/>
    <d v="2025-03-10T00:00:00"/>
    <x v="1"/>
    <s v="East"/>
    <x v="1"/>
    <x v="2"/>
    <x v="1"/>
    <n v="1"/>
    <n v="1"/>
    <n v="0"/>
    <x v="0"/>
    <n v="0"/>
    <n v="0"/>
    <n v="0"/>
    <n v="0"/>
    <n v="41.5"/>
  </r>
  <r>
    <x v="1116"/>
    <d v="2025-01-26T00:00:00"/>
    <x v="1"/>
    <s v="West"/>
    <x v="1"/>
    <x v="1"/>
    <x v="0"/>
    <n v="1"/>
    <n v="1"/>
    <n v="1"/>
    <x v="0"/>
    <n v="0"/>
    <n v="3"/>
    <n v="0"/>
    <n v="0"/>
    <n v="30.6"/>
  </r>
  <r>
    <x v="1117"/>
    <d v="2025-01-01T00:00:00"/>
    <x v="1"/>
    <s v="East"/>
    <x v="1"/>
    <x v="2"/>
    <x v="1"/>
    <n v="1"/>
    <n v="1"/>
    <n v="0"/>
    <x v="0"/>
    <n v="0"/>
    <n v="0"/>
    <n v="0"/>
    <n v="0"/>
    <n v="91.5"/>
  </r>
  <r>
    <x v="1118"/>
    <d v="2025-04-28T00:00:00"/>
    <x v="1"/>
    <s v="North"/>
    <x v="0"/>
    <x v="4"/>
    <x v="0"/>
    <n v="1"/>
    <n v="0"/>
    <n v="0"/>
    <x v="0"/>
    <n v="0"/>
    <n v="0"/>
    <n v="0"/>
    <n v="0"/>
    <n v="80.8"/>
  </r>
  <r>
    <x v="1119"/>
    <d v="2025-04-04T00:00:00"/>
    <x v="1"/>
    <s v="North"/>
    <x v="1"/>
    <x v="1"/>
    <x v="2"/>
    <n v="1"/>
    <n v="0"/>
    <n v="0"/>
    <x v="0"/>
    <n v="0"/>
    <n v="0"/>
    <n v="0"/>
    <n v="0"/>
    <n v="68.099999999999994"/>
  </r>
  <r>
    <x v="1120"/>
    <d v="2025-03-02T00:00:00"/>
    <x v="1"/>
    <s v="East"/>
    <x v="1"/>
    <x v="2"/>
    <x v="1"/>
    <n v="1"/>
    <n v="0"/>
    <n v="0"/>
    <x v="0"/>
    <n v="0"/>
    <n v="0"/>
    <n v="0"/>
    <n v="0"/>
    <n v="80.3"/>
  </r>
  <r>
    <x v="1121"/>
    <d v="2025-03-19T00:00:00"/>
    <x v="1"/>
    <s v="South"/>
    <x v="2"/>
    <x v="1"/>
    <x v="0"/>
    <n v="1"/>
    <n v="0"/>
    <n v="0"/>
    <x v="0"/>
    <n v="0"/>
    <n v="0"/>
    <n v="0"/>
    <n v="0"/>
    <n v="44.4"/>
  </r>
  <r>
    <x v="1122"/>
    <d v="2025-01-20T00:00:00"/>
    <x v="1"/>
    <s v="South"/>
    <x v="0"/>
    <x v="1"/>
    <x v="0"/>
    <n v="0"/>
    <n v="0"/>
    <n v="0"/>
    <x v="0"/>
    <n v="0"/>
    <n v="0"/>
    <n v="0"/>
    <n v="0"/>
    <n v="51.9"/>
  </r>
  <r>
    <x v="1123"/>
    <d v="2025-04-03T00:00:00"/>
    <x v="1"/>
    <s v="East"/>
    <x v="1"/>
    <x v="2"/>
    <x v="1"/>
    <n v="1"/>
    <n v="1"/>
    <n v="0"/>
    <x v="0"/>
    <n v="0"/>
    <n v="0"/>
    <n v="0"/>
    <n v="0"/>
    <n v="49.8"/>
  </r>
  <r>
    <x v="1124"/>
    <d v="2025-01-11T00:00:00"/>
    <x v="1"/>
    <s v="East"/>
    <x v="0"/>
    <x v="4"/>
    <x v="1"/>
    <n v="1"/>
    <n v="1"/>
    <n v="1"/>
    <x v="0"/>
    <n v="0"/>
    <n v="3"/>
    <n v="0"/>
    <n v="0"/>
    <n v="62.1"/>
  </r>
  <r>
    <x v="1125"/>
    <d v="2025-02-02T00:00:00"/>
    <x v="1"/>
    <s v="West"/>
    <x v="0"/>
    <x v="4"/>
    <x v="0"/>
    <n v="1"/>
    <n v="0"/>
    <n v="0"/>
    <x v="0"/>
    <n v="0"/>
    <n v="0"/>
    <n v="0"/>
    <n v="0"/>
    <n v="91.3"/>
  </r>
  <r>
    <x v="1126"/>
    <d v="2025-04-01T00:00:00"/>
    <x v="1"/>
    <s v="South"/>
    <x v="1"/>
    <x v="1"/>
    <x v="0"/>
    <n v="1"/>
    <n v="0"/>
    <n v="0"/>
    <x v="0"/>
    <n v="0"/>
    <n v="0"/>
    <n v="0"/>
    <n v="0"/>
    <n v="66.400000000000006"/>
  </r>
  <r>
    <x v="1127"/>
    <d v="2025-05-22T00:00:00"/>
    <x v="1"/>
    <s v="East"/>
    <x v="1"/>
    <x v="1"/>
    <x v="0"/>
    <n v="1"/>
    <n v="0"/>
    <n v="0"/>
    <x v="0"/>
    <n v="0"/>
    <n v="0"/>
    <n v="0"/>
    <n v="0"/>
    <n v="41.5"/>
  </r>
  <r>
    <x v="1128"/>
    <d v="2025-02-20T00:00:00"/>
    <x v="1"/>
    <s v="West"/>
    <x v="1"/>
    <x v="1"/>
    <x v="0"/>
    <n v="0"/>
    <n v="0"/>
    <n v="0"/>
    <x v="0"/>
    <n v="0"/>
    <n v="0"/>
    <n v="0"/>
    <n v="0"/>
    <n v="77.099999999999994"/>
  </r>
  <r>
    <x v="1129"/>
    <d v="2025-03-21T00:00:00"/>
    <x v="1"/>
    <s v="West"/>
    <x v="1"/>
    <x v="1"/>
    <x v="1"/>
    <n v="1"/>
    <n v="0"/>
    <n v="0"/>
    <x v="0"/>
    <n v="0"/>
    <n v="0"/>
    <n v="0"/>
    <n v="0"/>
    <n v="63.2"/>
  </r>
  <r>
    <x v="1130"/>
    <d v="2025-05-01T00:00:00"/>
    <x v="1"/>
    <s v="West"/>
    <x v="0"/>
    <x v="3"/>
    <x v="1"/>
    <n v="1"/>
    <n v="1"/>
    <n v="1"/>
    <x v="0"/>
    <n v="0"/>
    <n v="3"/>
    <n v="0"/>
    <n v="0"/>
    <n v="75.7"/>
  </r>
  <r>
    <x v="1131"/>
    <d v="2025-01-06T00:00:00"/>
    <x v="1"/>
    <s v="West"/>
    <x v="1"/>
    <x v="2"/>
    <x v="0"/>
    <n v="0"/>
    <n v="0"/>
    <n v="0"/>
    <x v="0"/>
    <n v="0"/>
    <n v="0"/>
    <n v="0"/>
    <n v="0"/>
    <n v="62.9"/>
  </r>
  <r>
    <x v="1132"/>
    <d v="2025-04-12T00:00:00"/>
    <x v="1"/>
    <s v="North"/>
    <x v="0"/>
    <x v="2"/>
    <x v="2"/>
    <n v="1"/>
    <n v="0"/>
    <n v="0"/>
    <x v="0"/>
    <n v="0"/>
    <n v="3"/>
    <n v="0"/>
    <n v="0"/>
    <n v="64.599999999999994"/>
  </r>
  <r>
    <x v="1133"/>
    <d v="2025-04-18T00:00:00"/>
    <x v="1"/>
    <s v="North"/>
    <x v="1"/>
    <x v="5"/>
    <x v="0"/>
    <n v="1"/>
    <n v="0"/>
    <n v="0"/>
    <x v="0"/>
    <n v="0"/>
    <n v="0"/>
    <n v="0"/>
    <n v="0"/>
    <n v="76.599999999999994"/>
  </r>
  <r>
    <x v="1134"/>
    <d v="2025-03-24T00:00:00"/>
    <x v="1"/>
    <s v="East"/>
    <x v="1"/>
    <x v="4"/>
    <x v="0"/>
    <n v="1"/>
    <n v="0"/>
    <n v="0"/>
    <x v="0"/>
    <n v="0"/>
    <n v="0"/>
    <n v="0"/>
    <n v="0"/>
    <n v="74.8"/>
  </r>
  <r>
    <x v="1135"/>
    <d v="2025-03-18T00:00:00"/>
    <x v="1"/>
    <s v="East"/>
    <x v="0"/>
    <x v="0"/>
    <x v="2"/>
    <n v="1"/>
    <n v="0"/>
    <n v="0"/>
    <x v="0"/>
    <n v="0"/>
    <n v="2"/>
    <n v="0"/>
    <n v="0"/>
    <n v="38.1"/>
  </r>
  <r>
    <x v="1136"/>
    <d v="2025-04-30T00:00:00"/>
    <x v="1"/>
    <s v="South"/>
    <x v="2"/>
    <x v="2"/>
    <x v="0"/>
    <n v="1"/>
    <n v="1"/>
    <n v="0"/>
    <x v="0"/>
    <n v="0"/>
    <n v="0"/>
    <n v="0"/>
    <n v="0"/>
    <n v="60.2"/>
  </r>
  <r>
    <x v="1137"/>
    <d v="2025-01-25T00:00:00"/>
    <x v="1"/>
    <s v="West"/>
    <x v="1"/>
    <x v="0"/>
    <x v="1"/>
    <n v="1"/>
    <n v="1"/>
    <n v="0"/>
    <x v="0"/>
    <n v="0"/>
    <n v="0"/>
    <n v="0"/>
    <n v="0"/>
    <n v="73.5"/>
  </r>
  <r>
    <x v="1138"/>
    <d v="2025-04-10T00:00:00"/>
    <x v="1"/>
    <s v="South"/>
    <x v="1"/>
    <x v="1"/>
    <x v="1"/>
    <n v="1"/>
    <n v="0"/>
    <n v="0"/>
    <x v="0"/>
    <n v="0"/>
    <n v="0"/>
    <n v="0"/>
    <n v="0"/>
    <n v="70.900000000000006"/>
  </r>
  <r>
    <x v="1139"/>
    <d v="2025-01-10T00:00:00"/>
    <x v="1"/>
    <s v="West"/>
    <x v="1"/>
    <x v="4"/>
    <x v="1"/>
    <n v="1"/>
    <n v="0"/>
    <n v="0"/>
    <x v="0"/>
    <n v="0"/>
    <n v="0"/>
    <n v="0"/>
    <n v="0"/>
    <n v="63.7"/>
  </r>
  <r>
    <x v="1140"/>
    <d v="2025-02-11T00:00:00"/>
    <x v="1"/>
    <s v="South"/>
    <x v="1"/>
    <x v="2"/>
    <x v="1"/>
    <n v="1"/>
    <n v="0"/>
    <n v="0"/>
    <x v="0"/>
    <n v="0"/>
    <n v="0"/>
    <n v="0"/>
    <n v="0"/>
    <n v="86.5"/>
  </r>
  <r>
    <x v="1141"/>
    <d v="2025-05-01T00:00:00"/>
    <x v="1"/>
    <s v="East"/>
    <x v="1"/>
    <x v="4"/>
    <x v="0"/>
    <n v="1"/>
    <n v="1"/>
    <n v="1"/>
    <x v="1"/>
    <n v="921.72"/>
    <n v="3"/>
    <n v="0"/>
    <n v="7"/>
    <n v="74.599999999999994"/>
  </r>
  <r>
    <x v="1142"/>
    <d v="2025-01-18T00:00:00"/>
    <x v="1"/>
    <s v="East"/>
    <x v="1"/>
    <x v="1"/>
    <x v="1"/>
    <n v="1"/>
    <n v="0"/>
    <n v="0"/>
    <x v="0"/>
    <n v="0"/>
    <n v="0"/>
    <n v="0"/>
    <n v="0"/>
    <n v="46.6"/>
  </r>
  <r>
    <x v="1143"/>
    <d v="2025-01-02T00:00:00"/>
    <x v="1"/>
    <s v="North"/>
    <x v="1"/>
    <x v="2"/>
    <x v="1"/>
    <n v="0"/>
    <n v="0"/>
    <n v="0"/>
    <x v="0"/>
    <n v="0"/>
    <n v="0"/>
    <n v="0"/>
    <n v="0"/>
    <n v="61.2"/>
  </r>
  <r>
    <x v="1144"/>
    <d v="2025-05-11T00:00:00"/>
    <x v="1"/>
    <s v="West"/>
    <x v="1"/>
    <x v="1"/>
    <x v="1"/>
    <n v="1"/>
    <n v="1"/>
    <n v="1"/>
    <x v="1"/>
    <n v="290.39"/>
    <n v="0"/>
    <n v="0"/>
    <n v="4"/>
    <n v="54.4"/>
  </r>
  <r>
    <x v="1145"/>
    <d v="2025-03-22T00:00:00"/>
    <x v="1"/>
    <s v="North"/>
    <x v="1"/>
    <x v="3"/>
    <x v="1"/>
    <n v="1"/>
    <n v="1"/>
    <n v="1"/>
    <x v="0"/>
    <n v="0"/>
    <n v="0"/>
    <n v="0"/>
    <n v="0"/>
    <n v="72"/>
  </r>
  <r>
    <x v="1146"/>
    <d v="2025-05-02T00:00:00"/>
    <x v="1"/>
    <s v="South"/>
    <x v="1"/>
    <x v="4"/>
    <x v="2"/>
    <n v="1"/>
    <n v="1"/>
    <n v="1"/>
    <x v="1"/>
    <n v="1858.85"/>
    <n v="0"/>
    <n v="0"/>
    <n v="8"/>
    <n v="88.6"/>
  </r>
  <r>
    <x v="1147"/>
    <d v="2025-05-26T00:00:00"/>
    <x v="1"/>
    <s v="East"/>
    <x v="0"/>
    <x v="5"/>
    <x v="0"/>
    <n v="1"/>
    <n v="0"/>
    <n v="0"/>
    <x v="0"/>
    <n v="0"/>
    <n v="0"/>
    <n v="0"/>
    <n v="0"/>
    <n v="77.599999999999994"/>
  </r>
  <r>
    <x v="1148"/>
    <d v="2025-03-13T00:00:00"/>
    <x v="1"/>
    <s v="South"/>
    <x v="1"/>
    <x v="1"/>
    <x v="0"/>
    <n v="1"/>
    <n v="0"/>
    <n v="0"/>
    <x v="0"/>
    <n v="0"/>
    <n v="1"/>
    <n v="0"/>
    <n v="0"/>
    <n v="44.3"/>
  </r>
  <r>
    <x v="1149"/>
    <d v="2025-05-17T00:00:00"/>
    <x v="1"/>
    <s v="South"/>
    <x v="0"/>
    <x v="2"/>
    <x v="1"/>
    <n v="1"/>
    <n v="1"/>
    <n v="0"/>
    <x v="0"/>
    <n v="0"/>
    <n v="0"/>
    <n v="0"/>
    <n v="0"/>
    <n v="49"/>
  </r>
  <r>
    <x v="1150"/>
    <d v="2025-03-13T00:00:00"/>
    <x v="1"/>
    <s v="North"/>
    <x v="0"/>
    <x v="3"/>
    <x v="2"/>
    <n v="1"/>
    <n v="0"/>
    <n v="0"/>
    <x v="0"/>
    <n v="0"/>
    <n v="0"/>
    <n v="0"/>
    <n v="0"/>
    <n v="53.9"/>
  </r>
  <r>
    <x v="1151"/>
    <d v="2025-02-11T00:00:00"/>
    <x v="1"/>
    <s v="East"/>
    <x v="0"/>
    <x v="1"/>
    <x v="0"/>
    <n v="1"/>
    <n v="0"/>
    <n v="0"/>
    <x v="0"/>
    <n v="0"/>
    <n v="1"/>
    <n v="0"/>
    <n v="0"/>
    <n v="69"/>
  </r>
  <r>
    <x v="1152"/>
    <d v="2025-03-01T00:00:00"/>
    <x v="1"/>
    <s v="West"/>
    <x v="1"/>
    <x v="4"/>
    <x v="1"/>
    <n v="0"/>
    <n v="0"/>
    <n v="0"/>
    <x v="0"/>
    <n v="0"/>
    <n v="0"/>
    <n v="0"/>
    <n v="0"/>
    <n v="37.4"/>
  </r>
  <r>
    <x v="1153"/>
    <d v="2025-04-15T00:00:00"/>
    <x v="1"/>
    <s v="West"/>
    <x v="1"/>
    <x v="1"/>
    <x v="0"/>
    <n v="0"/>
    <n v="0"/>
    <n v="0"/>
    <x v="0"/>
    <n v="0"/>
    <n v="0"/>
    <n v="0"/>
    <n v="0"/>
    <n v="59"/>
  </r>
  <r>
    <x v="1154"/>
    <d v="2025-02-02T00:00:00"/>
    <x v="1"/>
    <s v="East"/>
    <x v="1"/>
    <x v="1"/>
    <x v="2"/>
    <n v="1"/>
    <n v="0"/>
    <n v="0"/>
    <x v="0"/>
    <n v="0"/>
    <n v="0"/>
    <n v="0"/>
    <n v="0"/>
    <n v="60.8"/>
  </r>
  <r>
    <x v="1155"/>
    <d v="2025-05-19T00:00:00"/>
    <x v="1"/>
    <s v="South"/>
    <x v="1"/>
    <x v="0"/>
    <x v="1"/>
    <n v="1"/>
    <n v="0"/>
    <n v="0"/>
    <x v="0"/>
    <n v="0"/>
    <n v="0"/>
    <n v="0"/>
    <n v="0"/>
    <n v="57.5"/>
  </r>
  <r>
    <x v="1156"/>
    <d v="2025-01-05T00:00:00"/>
    <x v="1"/>
    <s v="West"/>
    <x v="1"/>
    <x v="3"/>
    <x v="1"/>
    <n v="0"/>
    <n v="0"/>
    <n v="0"/>
    <x v="0"/>
    <n v="0"/>
    <n v="0"/>
    <n v="0"/>
    <n v="0"/>
    <n v="84.2"/>
  </r>
  <r>
    <x v="1157"/>
    <d v="2025-03-08T00:00:00"/>
    <x v="1"/>
    <s v="South"/>
    <x v="1"/>
    <x v="2"/>
    <x v="1"/>
    <n v="1"/>
    <n v="1"/>
    <n v="0"/>
    <x v="0"/>
    <n v="0"/>
    <n v="0"/>
    <n v="0"/>
    <n v="0"/>
    <n v="27.4"/>
  </r>
  <r>
    <x v="1158"/>
    <d v="2025-03-12T00:00:00"/>
    <x v="1"/>
    <s v="West"/>
    <x v="1"/>
    <x v="0"/>
    <x v="0"/>
    <n v="1"/>
    <n v="0"/>
    <n v="0"/>
    <x v="0"/>
    <n v="0"/>
    <n v="1"/>
    <n v="0"/>
    <n v="0"/>
    <n v="67.599999999999994"/>
  </r>
  <r>
    <x v="1159"/>
    <d v="2025-01-24T00:00:00"/>
    <x v="1"/>
    <s v="West"/>
    <x v="1"/>
    <x v="1"/>
    <x v="1"/>
    <n v="0"/>
    <n v="0"/>
    <n v="0"/>
    <x v="0"/>
    <n v="0"/>
    <n v="0"/>
    <n v="0"/>
    <n v="0"/>
    <n v="68.400000000000006"/>
  </r>
  <r>
    <x v="1160"/>
    <d v="2025-05-22T00:00:00"/>
    <x v="1"/>
    <s v="South"/>
    <x v="1"/>
    <x v="2"/>
    <x v="0"/>
    <n v="1"/>
    <n v="1"/>
    <n v="1"/>
    <x v="0"/>
    <n v="0"/>
    <n v="0"/>
    <n v="0"/>
    <n v="0"/>
    <n v="66.5"/>
  </r>
  <r>
    <x v="1161"/>
    <d v="2025-03-27T00:00:00"/>
    <x v="1"/>
    <s v="South"/>
    <x v="1"/>
    <x v="2"/>
    <x v="1"/>
    <n v="1"/>
    <n v="0"/>
    <n v="0"/>
    <x v="0"/>
    <n v="0"/>
    <n v="0"/>
    <n v="0"/>
    <n v="0"/>
    <n v="38.200000000000003"/>
  </r>
  <r>
    <x v="1162"/>
    <d v="2025-01-02T00:00:00"/>
    <x v="1"/>
    <s v="West"/>
    <x v="1"/>
    <x v="4"/>
    <x v="1"/>
    <n v="0"/>
    <n v="0"/>
    <n v="0"/>
    <x v="0"/>
    <n v="0"/>
    <n v="1"/>
    <n v="0"/>
    <n v="0"/>
    <n v="66.7"/>
  </r>
  <r>
    <x v="1163"/>
    <d v="2025-02-24T00:00:00"/>
    <x v="1"/>
    <s v="North"/>
    <x v="1"/>
    <x v="2"/>
    <x v="1"/>
    <n v="0"/>
    <n v="0"/>
    <n v="0"/>
    <x v="0"/>
    <n v="0"/>
    <n v="1"/>
    <n v="0"/>
    <n v="0"/>
    <n v="73.7"/>
  </r>
  <r>
    <x v="1164"/>
    <d v="2025-03-01T00:00:00"/>
    <x v="1"/>
    <s v="West"/>
    <x v="0"/>
    <x v="1"/>
    <x v="0"/>
    <n v="1"/>
    <n v="1"/>
    <n v="1"/>
    <x v="0"/>
    <n v="0"/>
    <n v="0"/>
    <n v="0"/>
    <n v="0"/>
    <n v="63.9"/>
  </r>
  <r>
    <x v="1165"/>
    <d v="2025-03-26T00:00:00"/>
    <x v="1"/>
    <s v="South"/>
    <x v="2"/>
    <x v="1"/>
    <x v="0"/>
    <n v="1"/>
    <n v="0"/>
    <n v="0"/>
    <x v="0"/>
    <n v="0"/>
    <n v="1"/>
    <n v="0"/>
    <n v="0"/>
    <n v="82.6"/>
  </r>
  <r>
    <x v="1166"/>
    <d v="2025-05-25T00:00:00"/>
    <x v="1"/>
    <s v="East"/>
    <x v="1"/>
    <x v="2"/>
    <x v="1"/>
    <n v="0"/>
    <n v="0"/>
    <n v="0"/>
    <x v="0"/>
    <n v="0"/>
    <n v="1"/>
    <n v="0"/>
    <n v="0"/>
    <n v="58.3"/>
  </r>
  <r>
    <x v="1167"/>
    <d v="2025-02-25T00:00:00"/>
    <x v="1"/>
    <s v="West"/>
    <x v="1"/>
    <x v="3"/>
    <x v="2"/>
    <n v="1"/>
    <n v="1"/>
    <n v="1"/>
    <x v="1"/>
    <n v="1547.06"/>
    <n v="0"/>
    <n v="1"/>
    <n v="2"/>
    <n v="72.900000000000006"/>
  </r>
  <r>
    <x v="1168"/>
    <d v="2025-03-23T00:00:00"/>
    <x v="1"/>
    <s v="South"/>
    <x v="1"/>
    <x v="4"/>
    <x v="1"/>
    <n v="1"/>
    <n v="1"/>
    <n v="1"/>
    <x v="0"/>
    <n v="0"/>
    <n v="2"/>
    <n v="0"/>
    <n v="0"/>
    <n v="53.5"/>
  </r>
  <r>
    <x v="1169"/>
    <d v="2025-04-21T00:00:00"/>
    <x v="1"/>
    <s v="West"/>
    <x v="1"/>
    <x v="3"/>
    <x v="1"/>
    <n v="1"/>
    <n v="0"/>
    <n v="0"/>
    <x v="0"/>
    <n v="0"/>
    <n v="0"/>
    <n v="0"/>
    <n v="0"/>
    <n v="54.8"/>
  </r>
  <r>
    <x v="1170"/>
    <d v="2025-05-21T00:00:00"/>
    <x v="1"/>
    <s v="North"/>
    <x v="1"/>
    <x v="1"/>
    <x v="2"/>
    <n v="1"/>
    <n v="0"/>
    <n v="0"/>
    <x v="0"/>
    <n v="0"/>
    <n v="0"/>
    <n v="0"/>
    <n v="0"/>
    <n v="69.5"/>
  </r>
  <r>
    <x v="1171"/>
    <d v="2025-04-25T00:00:00"/>
    <x v="1"/>
    <s v="North"/>
    <x v="0"/>
    <x v="4"/>
    <x v="1"/>
    <n v="1"/>
    <n v="0"/>
    <n v="0"/>
    <x v="0"/>
    <n v="0"/>
    <n v="1"/>
    <n v="0"/>
    <n v="0"/>
    <n v="71.3"/>
  </r>
  <r>
    <x v="1172"/>
    <d v="2025-05-23T00:00:00"/>
    <x v="1"/>
    <s v="West"/>
    <x v="1"/>
    <x v="3"/>
    <x v="0"/>
    <n v="1"/>
    <n v="0"/>
    <n v="0"/>
    <x v="0"/>
    <n v="0"/>
    <n v="1"/>
    <n v="0"/>
    <n v="0"/>
    <n v="57.5"/>
  </r>
  <r>
    <x v="1173"/>
    <d v="2025-03-18T00:00:00"/>
    <x v="1"/>
    <s v="South"/>
    <x v="1"/>
    <x v="0"/>
    <x v="1"/>
    <n v="1"/>
    <n v="0"/>
    <n v="0"/>
    <x v="0"/>
    <n v="0"/>
    <n v="4"/>
    <n v="0"/>
    <n v="0"/>
    <n v="50.9"/>
  </r>
  <r>
    <x v="1174"/>
    <d v="2025-01-03T00:00:00"/>
    <x v="1"/>
    <s v="South"/>
    <x v="2"/>
    <x v="1"/>
    <x v="1"/>
    <n v="1"/>
    <n v="1"/>
    <n v="1"/>
    <x v="0"/>
    <n v="0"/>
    <n v="0"/>
    <n v="0"/>
    <n v="0"/>
    <n v="69.3"/>
  </r>
  <r>
    <x v="1175"/>
    <d v="2025-02-08T00:00:00"/>
    <x v="1"/>
    <s v="West"/>
    <x v="0"/>
    <x v="1"/>
    <x v="1"/>
    <n v="1"/>
    <n v="0"/>
    <n v="0"/>
    <x v="0"/>
    <n v="0"/>
    <n v="0"/>
    <n v="0"/>
    <n v="0"/>
    <n v="50.1"/>
  </r>
  <r>
    <x v="1176"/>
    <d v="2025-02-04T00:00:00"/>
    <x v="1"/>
    <s v="East"/>
    <x v="3"/>
    <x v="2"/>
    <x v="0"/>
    <n v="0"/>
    <n v="0"/>
    <n v="0"/>
    <x v="0"/>
    <n v="0"/>
    <n v="0"/>
    <n v="0"/>
    <n v="0"/>
    <n v="69.7"/>
  </r>
  <r>
    <x v="1177"/>
    <d v="2025-01-16T00:00:00"/>
    <x v="1"/>
    <s v="North"/>
    <x v="1"/>
    <x v="2"/>
    <x v="1"/>
    <n v="0"/>
    <n v="0"/>
    <n v="0"/>
    <x v="0"/>
    <n v="0"/>
    <n v="0"/>
    <n v="0"/>
    <n v="0"/>
    <n v="63.5"/>
  </r>
  <r>
    <x v="1178"/>
    <d v="2025-04-04T00:00:00"/>
    <x v="1"/>
    <s v="West"/>
    <x v="0"/>
    <x v="2"/>
    <x v="1"/>
    <n v="1"/>
    <n v="1"/>
    <n v="1"/>
    <x v="1"/>
    <n v="265.58999999999997"/>
    <n v="1"/>
    <n v="0"/>
    <n v="8"/>
    <n v="80.400000000000006"/>
  </r>
  <r>
    <x v="1179"/>
    <d v="2025-01-23T00:00:00"/>
    <x v="1"/>
    <s v="North"/>
    <x v="0"/>
    <x v="2"/>
    <x v="1"/>
    <n v="0"/>
    <n v="0"/>
    <n v="0"/>
    <x v="0"/>
    <n v="0"/>
    <n v="0"/>
    <n v="0"/>
    <n v="0"/>
    <n v="58.9"/>
  </r>
  <r>
    <x v="1180"/>
    <d v="2025-03-22T00:00:00"/>
    <x v="1"/>
    <s v="South"/>
    <x v="0"/>
    <x v="2"/>
    <x v="1"/>
    <n v="1"/>
    <n v="0"/>
    <n v="0"/>
    <x v="0"/>
    <n v="0"/>
    <n v="0"/>
    <n v="0"/>
    <n v="0"/>
    <n v="56.8"/>
  </r>
  <r>
    <x v="1181"/>
    <d v="2025-02-02T00:00:00"/>
    <x v="1"/>
    <s v="East"/>
    <x v="2"/>
    <x v="4"/>
    <x v="2"/>
    <n v="0"/>
    <n v="0"/>
    <n v="0"/>
    <x v="0"/>
    <n v="0"/>
    <n v="0"/>
    <n v="0"/>
    <n v="0"/>
    <n v="73.900000000000006"/>
  </r>
  <r>
    <x v="1182"/>
    <d v="2025-01-31T00:00:00"/>
    <x v="1"/>
    <s v="North"/>
    <x v="0"/>
    <x v="2"/>
    <x v="1"/>
    <n v="0"/>
    <n v="0"/>
    <n v="0"/>
    <x v="0"/>
    <n v="0"/>
    <n v="0"/>
    <n v="0"/>
    <n v="0"/>
    <n v="76.3"/>
  </r>
  <r>
    <x v="1183"/>
    <d v="2025-05-27T00:00:00"/>
    <x v="1"/>
    <s v="West"/>
    <x v="1"/>
    <x v="1"/>
    <x v="0"/>
    <n v="1"/>
    <n v="0"/>
    <n v="0"/>
    <x v="0"/>
    <n v="0"/>
    <n v="0"/>
    <n v="0"/>
    <n v="0"/>
    <n v="56.9"/>
  </r>
  <r>
    <x v="1184"/>
    <d v="2025-05-07T00:00:00"/>
    <x v="1"/>
    <s v="North"/>
    <x v="1"/>
    <x v="1"/>
    <x v="2"/>
    <n v="1"/>
    <n v="0"/>
    <n v="0"/>
    <x v="0"/>
    <n v="0"/>
    <n v="2"/>
    <n v="0"/>
    <n v="0"/>
    <n v="49.4"/>
  </r>
  <r>
    <x v="1185"/>
    <d v="2025-05-08T00:00:00"/>
    <x v="1"/>
    <s v="North"/>
    <x v="0"/>
    <x v="2"/>
    <x v="0"/>
    <n v="1"/>
    <n v="0"/>
    <n v="0"/>
    <x v="0"/>
    <n v="0"/>
    <n v="0"/>
    <n v="0"/>
    <n v="0"/>
    <n v="86.7"/>
  </r>
  <r>
    <x v="1186"/>
    <d v="2025-01-15T00:00:00"/>
    <x v="1"/>
    <s v="West"/>
    <x v="0"/>
    <x v="0"/>
    <x v="1"/>
    <n v="1"/>
    <n v="0"/>
    <n v="0"/>
    <x v="0"/>
    <n v="0"/>
    <n v="3"/>
    <n v="0"/>
    <n v="0"/>
    <n v="69"/>
  </r>
  <r>
    <x v="1187"/>
    <d v="2025-01-18T00:00:00"/>
    <x v="1"/>
    <s v="North"/>
    <x v="1"/>
    <x v="2"/>
    <x v="1"/>
    <n v="0"/>
    <n v="0"/>
    <n v="0"/>
    <x v="0"/>
    <n v="0"/>
    <n v="0"/>
    <n v="0"/>
    <n v="0"/>
    <n v="84.5"/>
  </r>
  <r>
    <x v="1188"/>
    <d v="2025-04-16T00:00:00"/>
    <x v="1"/>
    <s v="East"/>
    <x v="3"/>
    <x v="3"/>
    <x v="1"/>
    <n v="1"/>
    <n v="0"/>
    <n v="0"/>
    <x v="0"/>
    <n v="0"/>
    <n v="0"/>
    <n v="0"/>
    <n v="0"/>
    <n v="66.3"/>
  </r>
  <r>
    <x v="1189"/>
    <d v="2025-02-16T00:00:00"/>
    <x v="1"/>
    <s v="East"/>
    <x v="0"/>
    <x v="2"/>
    <x v="1"/>
    <n v="0"/>
    <n v="0"/>
    <n v="0"/>
    <x v="0"/>
    <n v="0"/>
    <n v="0"/>
    <n v="0"/>
    <n v="0"/>
    <n v="52.2"/>
  </r>
  <r>
    <x v="1190"/>
    <d v="2025-04-17T00:00:00"/>
    <x v="1"/>
    <s v="South"/>
    <x v="0"/>
    <x v="3"/>
    <x v="2"/>
    <n v="1"/>
    <n v="1"/>
    <n v="1"/>
    <x v="0"/>
    <n v="0"/>
    <n v="0"/>
    <n v="0"/>
    <n v="0"/>
    <n v="81.2"/>
  </r>
  <r>
    <x v="1191"/>
    <d v="2025-04-30T00:00:00"/>
    <x v="1"/>
    <s v="South"/>
    <x v="1"/>
    <x v="1"/>
    <x v="0"/>
    <n v="0"/>
    <n v="0"/>
    <n v="0"/>
    <x v="0"/>
    <n v="0"/>
    <n v="0"/>
    <n v="0"/>
    <n v="0"/>
    <n v="53.9"/>
  </r>
  <r>
    <x v="1192"/>
    <d v="2025-01-29T00:00:00"/>
    <x v="1"/>
    <s v="West"/>
    <x v="1"/>
    <x v="4"/>
    <x v="2"/>
    <n v="0"/>
    <n v="0"/>
    <n v="0"/>
    <x v="0"/>
    <n v="0"/>
    <n v="0"/>
    <n v="0"/>
    <n v="0"/>
    <n v="39.1"/>
  </r>
  <r>
    <x v="1193"/>
    <d v="2025-01-11T00:00:00"/>
    <x v="1"/>
    <s v="North"/>
    <x v="1"/>
    <x v="4"/>
    <x v="0"/>
    <n v="0"/>
    <n v="0"/>
    <n v="0"/>
    <x v="0"/>
    <n v="0"/>
    <n v="0"/>
    <n v="0"/>
    <n v="0"/>
    <n v="57.3"/>
  </r>
  <r>
    <x v="1194"/>
    <d v="2025-04-08T00:00:00"/>
    <x v="1"/>
    <s v="East"/>
    <x v="0"/>
    <x v="2"/>
    <x v="2"/>
    <n v="1"/>
    <n v="0"/>
    <n v="0"/>
    <x v="0"/>
    <n v="0"/>
    <n v="1"/>
    <n v="0"/>
    <n v="0"/>
    <n v="65.900000000000006"/>
  </r>
  <r>
    <x v="1195"/>
    <d v="2025-02-22T00:00:00"/>
    <x v="1"/>
    <s v="North"/>
    <x v="3"/>
    <x v="4"/>
    <x v="1"/>
    <n v="1"/>
    <n v="0"/>
    <n v="0"/>
    <x v="0"/>
    <n v="0"/>
    <n v="1"/>
    <n v="0"/>
    <n v="0"/>
    <n v="34.200000000000003"/>
  </r>
  <r>
    <x v="1196"/>
    <d v="2025-03-23T00:00:00"/>
    <x v="1"/>
    <s v="South"/>
    <x v="1"/>
    <x v="1"/>
    <x v="1"/>
    <n v="0"/>
    <n v="0"/>
    <n v="0"/>
    <x v="0"/>
    <n v="0"/>
    <n v="0"/>
    <n v="0"/>
    <n v="0"/>
    <n v="47.2"/>
  </r>
  <r>
    <x v="1197"/>
    <d v="2025-05-23T00:00:00"/>
    <x v="1"/>
    <s v="South"/>
    <x v="2"/>
    <x v="2"/>
    <x v="1"/>
    <n v="1"/>
    <n v="0"/>
    <n v="0"/>
    <x v="0"/>
    <n v="0"/>
    <n v="1"/>
    <n v="0"/>
    <n v="0"/>
    <n v="55"/>
  </r>
  <r>
    <x v="1198"/>
    <d v="2025-04-27T00:00:00"/>
    <x v="1"/>
    <s v="West"/>
    <x v="1"/>
    <x v="3"/>
    <x v="0"/>
    <n v="1"/>
    <n v="1"/>
    <n v="1"/>
    <x v="0"/>
    <n v="0"/>
    <n v="0"/>
    <n v="0"/>
    <n v="0"/>
    <n v="76.400000000000006"/>
  </r>
  <r>
    <x v="1199"/>
    <d v="2025-05-26T00:00:00"/>
    <x v="1"/>
    <s v="North"/>
    <x v="1"/>
    <x v="3"/>
    <x v="1"/>
    <n v="1"/>
    <n v="0"/>
    <n v="0"/>
    <x v="0"/>
    <n v="0"/>
    <n v="0"/>
    <n v="0"/>
    <n v="0"/>
    <n v="70.8"/>
  </r>
  <r>
    <x v="1200"/>
    <d v="2025-03-06T00:00:00"/>
    <x v="1"/>
    <s v="East"/>
    <x v="1"/>
    <x v="2"/>
    <x v="0"/>
    <n v="1"/>
    <n v="1"/>
    <n v="0"/>
    <x v="0"/>
    <n v="0"/>
    <n v="1"/>
    <n v="0"/>
    <n v="0"/>
    <n v="58"/>
  </r>
  <r>
    <x v="1201"/>
    <d v="2025-04-03T00:00:00"/>
    <x v="1"/>
    <s v="West"/>
    <x v="1"/>
    <x v="1"/>
    <x v="0"/>
    <n v="1"/>
    <n v="1"/>
    <n v="1"/>
    <x v="0"/>
    <n v="0"/>
    <n v="1"/>
    <n v="0"/>
    <n v="0"/>
    <n v="70.8"/>
  </r>
  <r>
    <x v="1202"/>
    <d v="2025-02-01T00:00:00"/>
    <x v="1"/>
    <s v="East"/>
    <x v="0"/>
    <x v="2"/>
    <x v="1"/>
    <n v="1"/>
    <n v="0"/>
    <n v="0"/>
    <x v="0"/>
    <n v="0"/>
    <n v="3"/>
    <n v="0"/>
    <n v="0"/>
    <n v="60"/>
  </r>
  <r>
    <x v="1203"/>
    <d v="2025-05-01T00:00:00"/>
    <x v="1"/>
    <s v="West"/>
    <x v="1"/>
    <x v="3"/>
    <x v="2"/>
    <n v="1"/>
    <n v="1"/>
    <n v="1"/>
    <x v="0"/>
    <n v="0"/>
    <n v="3"/>
    <n v="0"/>
    <n v="0"/>
    <n v="58.1"/>
  </r>
  <r>
    <x v="1204"/>
    <d v="2025-04-13T00:00:00"/>
    <x v="1"/>
    <s v="North"/>
    <x v="1"/>
    <x v="4"/>
    <x v="2"/>
    <n v="0"/>
    <n v="0"/>
    <n v="0"/>
    <x v="0"/>
    <n v="0"/>
    <n v="0"/>
    <n v="0"/>
    <n v="0"/>
    <n v="59.7"/>
  </r>
  <r>
    <x v="1205"/>
    <d v="2025-01-25T00:00:00"/>
    <x v="1"/>
    <s v="East"/>
    <x v="1"/>
    <x v="4"/>
    <x v="1"/>
    <n v="0"/>
    <n v="0"/>
    <n v="0"/>
    <x v="0"/>
    <n v="0"/>
    <n v="0"/>
    <n v="0"/>
    <n v="0"/>
    <n v="47.7"/>
  </r>
  <r>
    <x v="1206"/>
    <d v="2025-03-17T00:00:00"/>
    <x v="1"/>
    <s v="North"/>
    <x v="1"/>
    <x v="1"/>
    <x v="1"/>
    <n v="0"/>
    <n v="0"/>
    <n v="0"/>
    <x v="0"/>
    <n v="0"/>
    <n v="0"/>
    <n v="0"/>
    <n v="0"/>
    <n v="59.1"/>
  </r>
  <r>
    <x v="1207"/>
    <d v="2025-02-21T00:00:00"/>
    <x v="1"/>
    <s v="West"/>
    <x v="0"/>
    <x v="4"/>
    <x v="0"/>
    <n v="1"/>
    <n v="0"/>
    <n v="0"/>
    <x v="0"/>
    <n v="0"/>
    <n v="1"/>
    <n v="0"/>
    <n v="0"/>
    <n v="68.7"/>
  </r>
  <r>
    <x v="1208"/>
    <d v="2025-04-08T00:00:00"/>
    <x v="1"/>
    <s v="East"/>
    <x v="2"/>
    <x v="1"/>
    <x v="0"/>
    <n v="0"/>
    <n v="0"/>
    <n v="0"/>
    <x v="0"/>
    <n v="0"/>
    <n v="0"/>
    <n v="0"/>
    <n v="0"/>
    <n v="34.700000000000003"/>
  </r>
  <r>
    <x v="1209"/>
    <d v="2025-02-24T00:00:00"/>
    <x v="1"/>
    <s v="West"/>
    <x v="1"/>
    <x v="1"/>
    <x v="0"/>
    <n v="1"/>
    <n v="0"/>
    <n v="0"/>
    <x v="0"/>
    <n v="0"/>
    <n v="0"/>
    <n v="0"/>
    <n v="0"/>
    <n v="62"/>
  </r>
  <r>
    <x v="1210"/>
    <d v="2025-05-29T00:00:00"/>
    <x v="1"/>
    <s v="South"/>
    <x v="1"/>
    <x v="1"/>
    <x v="1"/>
    <n v="1"/>
    <n v="1"/>
    <n v="0"/>
    <x v="0"/>
    <n v="0"/>
    <n v="0"/>
    <n v="0"/>
    <n v="0"/>
    <n v="56"/>
  </r>
  <r>
    <x v="1211"/>
    <d v="2025-05-30T00:00:00"/>
    <x v="1"/>
    <s v="North"/>
    <x v="1"/>
    <x v="0"/>
    <x v="0"/>
    <n v="1"/>
    <n v="0"/>
    <n v="0"/>
    <x v="0"/>
    <n v="0"/>
    <n v="1"/>
    <n v="0"/>
    <n v="0"/>
    <n v="65.8"/>
  </r>
  <r>
    <x v="1212"/>
    <d v="2025-01-24T00:00:00"/>
    <x v="1"/>
    <s v="North"/>
    <x v="0"/>
    <x v="1"/>
    <x v="2"/>
    <n v="0"/>
    <n v="0"/>
    <n v="0"/>
    <x v="0"/>
    <n v="0"/>
    <n v="0"/>
    <n v="0"/>
    <n v="0"/>
    <n v="54.7"/>
  </r>
  <r>
    <x v="1213"/>
    <d v="2025-05-12T00:00:00"/>
    <x v="1"/>
    <s v="South"/>
    <x v="1"/>
    <x v="1"/>
    <x v="0"/>
    <n v="1"/>
    <n v="1"/>
    <n v="0"/>
    <x v="0"/>
    <n v="0"/>
    <n v="0"/>
    <n v="0"/>
    <n v="0"/>
    <n v="64.099999999999994"/>
  </r>
  <r>
    <x v="1214"/>
    <d v="2025-03-28T00:00:00"/>
    <x v="1"/>
    <s v="South"/>
    <x v="1"/>
    <x v="1"/>
    <x v="0"/>
    <n v="1"/>
    <n v="1"/>
    <n v="1"/>
    <x v="0"/>
    <n v="0"/>
    <n v="0"/>
    <n v="0"/>
    <n v="0"/>
    <n v="71.599999999999994"/>
  </r>
  <r>
    <x v="1215"/>
    <d v="2025-04-14T00:00:00"/>
    <x v="1"/>
    <s v="North"/>
    <x v="1"/>
    <x v="3"/>
    <x v="0"/>
    <n v="1"/>
    <n v="0"/>
    <n v="0"/>
    <x v="0"/>
    <n v="0"/>
    <n v="0"/>
    <n v="0"/>
    <n v="0"/>
    <n v="78.400000000000006"/>
  </r>
  <r>
    <x v="1216"/>
    <d v="2025-01-28T00:00:00"/>
    <x v="1"/>
    <s v="East"/>
    <x v="2"/>
    <x v="3"/>
    <x v="0"/>
    <n v="0"/>
    <n v="0"/>
    <n v="0"/>
    <x v="0"/>
    <n v="0"/>
    <n v="0"/>
    <n v="0"/>
    <n v="0"/>
    <n v="49.3"/>
  </r>
  <r>
    <x v="1217"/>
    <d v="2025-05-21T00:00:00"/>
    <x v="1"/>
    <s v="North"/>
    <x v="1"/>
    <x v="1"/>
    <x v="0"/>
    <n v="0"/>
    <n v="0"/>
    <n v="0"/>
    <x v="0"/>
    <n v="0"/>
    <n v="0"/>
    <n v="0"/>
    <n v="0"/>
    <n v="52.8"/>
  </r>
  <r>
    <x v="1218"/>
    <d v="2025-05-11T00:00:00"/>
    <x v="1"/>
    <s v="West"/>
    <x v="0"/>
    <x v="1"/>
    <x v="1"/>
    <n v="0"/>
    <n v="0"/>
    <n v="0"/>
    <x v="0"/>
    <n v="0"/>
    <n v="0"/>
    <n v="0"/>
    <n v="0"/>
    <n v="58.5"/>
  </r>
  <r>
    <x v="1219"/>
    <d v="2025-02-02T00:00:00"/>
    <x v="1"/>
    <s v="South"/>
    <x v="1"/>
    <x v="2"/>
    <x v="1"/>
    <n v="1"/>
    <n v="0"/>
    <n v="0"/>
    <x v="0"/>
    <n v="0"/>
    <n v="0"/>
    <n v="0"/>
    <n v="0"/>
    <n v="55.9"/>
  </r>
  <r>
    <x v="1220"/>
    <d v="2025-02-26T00:00:00"/>
    <x v="1"/>
    <s v="North"/>
    <x v="1"/>
    <x v="4"/>
    <x v="1"/>
    <n v="1"/>
    <n v="1"/>
    <n v="1"/>
    <x v="1"/>
    <n v="351.43"/>
    <n v="1"/>
    <n v="0"/>
    <n v="6"/>
    <n v="74.900000000000006"/>
  </r>
  <r>
    <x v="1221"/>
    <d v="2025-02-27T00:00:00"/>
    <x v="1"/>
    <s v="South"/>
    <x v="0"/>
    <x v="3"/>
    <x v="1"/>
    <n v="1"/>
    <n v="1"/>
    <n v="1"/>
    <x v="1"/>
    <n v="352.42"/>
    <n v="0"/>
    <n v="0"/>
    <n v="4"/>
    <n v="58.5"/>
  </r>
  <r>
    <x v="1222"/>
    <d v="2025-03-09T00:00:00"/>
    <x v="1"/>
    <s v="West"/>
    <x v="1"/>
    <x v="1"/>
    <x v="1"/>
    <n v="0"/>
    <n v="0"/>
    <n v="0"/>
    <x v="0"/>
    <n v="0"/>
    <n v="0"/>
    <n v="0"/>
    <n v="0"/>
    <n v="63.5"/>
  </r>
  <r>
    <x v="1223"/>
    <d v="2025-02-07T00:00:00"/>
    <x v="1"/>
    <s v="North"/>
    <x v="1"/>
    <x v="2"/>
    <x v="0"/>
    <n v="1"/>
    <n v="0"/>
    <n v="0"/>
    <x v="0"/>
    <n v="0"/>
    <n v="1"/>
    <n v="0"/>
    <n v="0"/>
    <n v="64.8"/>
  </r>
  <r>
    <x v="1224"/>
    <d v="2025-01-31T00:00:00"/>
    <x v="1"/>
    <s v="West"/>
    <x v="1"/>
    <x v="4"/>
    <x v="1"/>
    <n v="0"/>
    <n v="0"/>
    <n v="0"/>
    <x v="0"/>
    <n v="0"/>
    <n v="0"/>
    <n v="0"/>
    <n v="0"/>
    <n v="63.3"/>
  </r>
  <r>
    <x v="1225"/>
    <d v="2025-02-14T00:00:00"/>
    <x v="1"/>
    <s v="North"/>
    <x v="2"/>
    <x v="2"/>
    <x v="0"/>
    <n v="1"/>
    <n v="1"/>
    <n v="1"/>
    <x v="1"/>
    <n v="1074.1600000000001"/>
    <n v="0"/>
    <n v="0"/>
    <n v="8"/>
    <n v="83.7"/>
  </r>
  <r>
    <x v="1226"/>
    <d v="2025-02-12T00:00:00"/>
    <x v="1"/>
    <s v="South"/>
    <x v="0"/>
    <x v="4"/>
    <x v="0"/>
    <n v="0"/>
    <n v="0"/>
    <n v="0"/>
    <x v="0"/>
    <n v="0"/>
    <n v="0"/>
    <n v="0"/>
    <n v="0"/>
    <n v="88.7"/>
  </r>
  <r>
    <x v="1227"/>
    <d v="2025-03-23T00:00:00"/>
    <x v="1"/>
    <s v="East"/>
    <x v="3"/>
    <x v="2"/>
    <x v="1"/>
    <n v="1"/>
    <n v="0"/>
    <n v="0"/>
    <x v="0"/>
    <n v="0"/>
    <n v="1"/>
    <n v="0"/>
    <n v="0"/>
    <n v="61.5"/>
  </r>
  <r>
    <x v="1228"/>
    <d v="2025-03-18T00:00:00"/>
    <x v="1"/>
    <s v="West"/>
    <x v="1"/>
    <x v="2"/>
    <x v="1"/>
    <n v="0"/>
    <n v="0"/>
    <n v="0"/>
    <x v="0"/>
    <n v="0"/>
    <n v="0"/>
    <n v="0"/>
    <n v="0"/>
    <n v="45.3"/>
  </r>
  <r>
    <x v="1229"/>
    <d v="2025-05-17T00:00:00"/>
    <x v="1"/>
    <s v="North"/>
    <x v="1"/>
    <x v="4"/>
    <x v="1"/>
    <n v="1"/>
    <n v="0"/>
    <n v="0"/>
    <x v="0"/>
    <n v="0"/>
    <n v="0"/>
    <n v="0"/>
    <n v="0"/>
    <n v="37.299999999999997"/>
  </r>
  <r>
    <x v="1230"/>
    <d v="2025-03-26T00:00:00"/>
    <x v="1"/>
    <s v="West"/>
    <x v="0"/>
    <x v="4"/>
    <x v="2"/>
    <n v="1"/>
    <n v="0"/>
    <n v="0"/>
    <x v="0"/>
    <n v="0"/>
    <n v="1"/>
    <n v="0"/>
    <n v="0"/>
    <n v="76.099999999999994"/>
  </r>
  <r>
    <x v="1231"/>
    <d v="2025-03-30T00:00:00"/>
    <x v="1"/>
    <s v="East"/>
    <x v="1"/>
    <x v="1"/>
    <x v="1"/>
    <n v="1"/>
    <n v="1"/>
    <n v="1"/>
    <x v="0"/>
    <n v="0"/>
    <n v="1"/>
    <n v="0"/>
    <n v="0"/>
    <n v="72.5"/>
  </r>
  <r>
    <x v="1232"/>
    <d v="2025-02-25T00:00:00"/>
    <x v="1"/>
    <s v="East"/>
    <x v="0"/>
    <x v="1"/>
    <x v="1"/>
    <n v="1"/>
    <n v="0"/>
    <n v="0"/>
    <x v="0"/>
    <n v="0"/>
    <n v="0"/>
    <n v="0"/>
    <n v="0"/>
    <n v="62.3"/>
  </r>
  <r>
    <x v="1233"/>
    <d v="2025-03-01T00:00:00"/>
    <x v="1"/>
    <s v="East"/>
    <x v="0"/>
    <x v="4"/>
    <x v="1"/>
    <n v="0"/>
    <n v="0"/>
    <n v="0"/>
    <x v="0"/>
    <n v="0"/>
    <n v="0"/>
    <n v="0"/>
    <n v="0"/>
    <n v="62.7"/>
  </r>
  <r>
    <x v="1234"/>
    <d v="2025-05-27T00:00:00"/>
    <x v="1"/>
    <s v="North"/>
    <x v="1"/>
    <x v="2"/>
    <x v="0"/>
    <n v="0"/>
    <n v="0"/>
    <n v="0"/>
    <x v="0"/>
    <n v="0"/>
    <n v="0"/>
    <n v="0"/>
    <n v="0"/>
    <n v="82.4"/>
  </r>
  <r>
    <x v="1235"/>
    <d v="2025-02-05T00:00:00"/>
    <x v="1"/>
    <s v="West"/>
    <x v="1"/>
    <x v="5"/>
    <x v="2"/>
    <n v="1"/>
    <n v="0"/>
    <n v="0"/>
    <x v="0"/>
    <n v="0"/>
    <n v="0"/>
    <n v="0"/>
    <n v="0"/>
    <n v="78.900000000000006"/>
  </r>
  <r>
    <x v="1236"/>
    <d v="2025-01-25T00:00:00"/>
    <x v="1"/>
    <s v="West"/>
    <x v="0"/>
    <x v="0"/>
    <x v="1"/>
    <n v="1"/>
    <n v="1"/>
    <n v="1"/>
    <x v="1"/>
    <n v="618.91"/>
    <n v="0"/>
    <n v="0"/>
    <n v="4"/>
    <n v="67.8"/>
  </r>
  <r>
    <x v="1237"/>
    <d v="2025-04-10T00:00:00"/>
    <x v="1"/>
    <s v="East"/>
    <x v="1"/>
    <x v="1"/>
    <x v="2"/>
    <n v="1"/>
    <n v="0"/>
    <n v="0"/>
    <x v="0"/>
    <n v="0"/>
    <n v="0"/>
    <n v="0"/>
    <n v="0"/>
    <n v="68.8"/>
  </r>
  <r>
    <x v="1238"/>
    <d v="2025-01-10T00:00:00"/>
    <x v="1"/>
    <s v="East"/>
    <x v="1"/>
    <x v="1"/>
    <x v="2"/>
    <n v="1"/>
    <n v="0"/>
    <n v="0"/>
    <x v="0"/>
    <n v="0"/>
    <n v="0"/>
    <n v="0"/>
    <n v="0"/>
    <n v="67.7"/>
  </r>
  <r>
    <x v="1239"/>
    <d v="2025-02-23T00:00:00"/>
    <x v="1"/>
    <s v="East"/>
    <x v="1"/>
    <x v="5"/>
    <x v="1"/>
    <n v="0"/>
    <n v="0"/>
    <n v="0"/>
    <x v="0"/>
    <n v="0"/>
    <n v="0"/>
    <n v="0"/>
    <n v="0"/>
    <n v="88"/>
  </r>
  <r>
    <x v="1240"/>
    <d v="2025-05-23T00:00:00"/>
    <x v="1"/>
    <s v="West"/>
    <x v="0"/>
    <x v="1"/>
    <x v="0"/>
    <n v="1"/>
    <n v="1"/>
    <n v="0"/>
    <x v="0"/>
    <n v="0"/>
    <n v="0"/>
    <n v="0"/>
    <n v="0"/>
    <n v="80.099999999999994"/>
  </r>
  <r>
    <x v="1241"/>
    <d v="2025-03-08T00:00:00"/>
    <x v="1"/>
    <s v="North"/>
    <x v="2"/>
    <x v="0"/>
    <x v="0"/>
    <n v="0"/>
    <n v="0"/>
    <n v="0"/>
    <x v="0"/>
    <n v="0"/>
    <n v="1"/>
    <n v="0"/>
    <n v="0"/>
    <n v="48.2"/>
  </r>
  <r>
    <x v="1242"/>
    <d v="2025-05-21T00:00:00"/>
    <x v="1"/>
    <s v="East"/>
    <x v="1"/>
    <x v="1"/>
    <x v="0"/>
    <n v="1"/>
    <n v="0"/>
    <n v="0"/>
    <x v="0"/>
    <n v="0"/>
    <n v="0"/>
    <n v="0"/>
    <n v="0"/>
    <n v="52.7"/>
  </r>
  <r>
    <x v="1243"/>
    <d v="2025-04-22T00:00:00"/>
    <x v="1"/>
    <s v="North"/>
    <x v="1"/>
    <x v="0"/>
    <x v="0"/>
    <n v="1"/>
    <n v="1"/>
    <n v="0"/>
    <x v="0"/>
    <n v="0"/>
    <n v="0"/>
    <n v="0"/>
    <n v="0"/>
    <n v="59.9"/>
  </r>
  <r>
    <x v="1244"/>
    <d v="2025-04-16T00:00:00"/>
    <x v="1"/>
    <s v="North"/>
    <x v="1"/>
    <x v="0"/>
    <x v="2"/>
    <n v="1"/>
    <n v="0"/>
    <n v="0"/>
    <x v="0"/>
    <n v="0"/>
    <n v="0"/>
    <n v="0"/>
    <n v="0"/>
    <n v="49.5"/>
  </r>
  <r>
    <x v="1245"/>
    <d v="2025-05-08T00:00:00"/>
    <x v="1"/>
    <s v="North"/>
    <x v="2"/>
    <x v="1"/>
    <x v="1"/>
    <n v="1"/>
    <n v="0"/>
    <n v="0"/>
    <x v="0"/>
    <n v="0"/>
    <n v="0"/>
    <n v="0"/>
    <n v="0"/>
    <n v="41.5"/>
  </r>
  <r>
    <x v="1246"/>
    <d v="2025-05-22T00:00:00"/>
    <x v="1"/>
    <s v="North"/>
    <x v="1"/>
    <x v="2"/>
    <x v="0"/>
    <n v="1"/>
    <n v="0"/>
    <n v="0"/>
    <x v="0"/>
    <n v="0"/>
    <n v="0"/>
    <n v="0"/>
    <n v="0"/>
    <n v="71.2"/>
  </r>
  <r>
    <x v="1247"/>
    <d v="2025-03-21T00:00:00"/>
    <x v="1"/>
    <s v="North"/>
    <x v="1"/>
    <x v="3"/>
    <x v="0"/>
    <n v="1"/>
    <n v="1"/>
    <n v="1"/>
    <x v="0"/>
    <n v="0"/>
    <n v="0"/>
    <n v="0"/>
    <n v="0"/>
    <n v="65.8"/>
  </r>
  <r>
    <x v="1248"/>
    <d v="2025-03-22T00:00:00"/>
    <x v="1"/>
    <s v="East"/>
    <x v="1"/>
    <x v="1"/>
    <x v="0"/>
    <n v="1"/>
    <n v="0"/>
    <n v="0"/>
    <x v="0"/>
    <n v="0"/>
    <n v="1"/>
    <n v="0"/>
    <n v="0"/>
    <n v="55.1"/>
  </r>
  <r>
    <x v="1249"/>
    <d v="2025-01-10T00:00:00"/>
    <x v="1"/>
    <s v="West"/>
    <x v="0"/>
    <x v="4"/>
    <x v="1"/>
    <n v="1"/>
    <n v="0"/>
    <n v="0"/>
    <x v="0"/>
    <n v="0"/>
    <n v="0"/>
    <n v="0"/>
    <n v="0"/>
    <n v="54.6"/>
  </r>
  <r>
    <x v="1250"/>
    <d v="2025-02-01T00:00:00"/>
    <x v="1"/>
    <s v="East"/>
    <x v="1"/>
    <x v="1"/>
    <x v="0"/>
    <n v="1"/>
    <n v="1"/>
    <n v="1"/>
    <x v="1"/>
    <n v="923.67"/>
    <n v="0"/>
    <n v="0"/>
    <n v="4"/>
    <n v="81.900000000000006"/>
  </r>
  <r>
    <x v="1251"/>
    <d v="2025-03-31T00:00:00"/>
    <x v="1"/>
    <s v="South"/>
    <x v="1"/>
    <x v="2"/>
    <x v="0"/>
    <n v="1"/>
    <n v="1"/>
    <n v="0"/>
    <x v="0"/>
    <n v="0"/>
    <n v="3"/>
    <n v="0"/>
    <n v="0"/>
    <n v="63.2"/>
  </r>
  <r>
    <x v="1252"/>
    <d v="2025-04-25T00:00:00"/>
    <x v="1"/>
    <s v="North"/>
    <x v="1"/>
    <x v="2"/>
    <x v="1"/>
    <n v="1"/>
    <n v="0"/>
    <n v="0"/>
    <x v="0"/>
    <n v="0"/>
    <n v="0"/>
    <n v="0"/>
    <n v="0"/>
    <n v="55.4"/>
  </r>
  <r>
    <x v="1253"/>
    <d v="2025-05-02T00:00:00"/>
    <x v="1"/>
    <s v="West"/>
    <x v="1"/>
    <x v="4"/>
    <x v="0"/>
    <n v="0"/>
    <n v="0"/>
    <n v="0"/>
    <x v="0"/>
    <n v="0"/>
    <n v="0"/>
    <n v="0"/>
    <n v="0"/>
    <n v="87.5"/>
  </r>
  <r>
    <x v="1254"/>
    <d v="2025-03-08T00:00:00"/>
    <x v="1"/>
    <s v="South"/>
    <x v="0"/>
    <x v="4"/>
    <x v="0"/>
    <n v="1"/>
    <n v="0"/>
    <n v="0"/>
    <x v="0"/>
    <n v="0"/>
    <n v="0"/>
    <n v="0"/>
    <n v="0"/>
    <n v="48.5"/>
  </r>
  <r>
    <x v="1255"/>
    <d v="2025-01-27T00:00:00"/>
    <x v="1"/>
    <s v="East"/>
    <x v="0"/>
    <x v="5"/>
    <x v="1"/>
    <n v="1"/>
    <n v="1"/>
    <n v="1"/>
    <x v="1"/>
    <n v="420.27"/>
    <n v="0"/>
    <n v="0"/>
    <n v="6"/>
    <n v="58.4"/>
  </r>
  <r>
    <x v="1256"/>
    <d v="2025-04-27T00:00:00"/>
    <x v="1"/>
    <s v="West"/>
    <x v="1"/>
    <x v="2"/>
    <x v="1"/>
    <n v="0"/>
    <n v="0"/>
    <n v="0"/>
    <x v="0"/>
    <n v="0"/>
    <n v="0"/>
    <n v="0"/>
    <n v="0"/>
    <n v="59.5"/>
  </r>
  <r>
    <x v="1257"/>
    <d v="2025-01-16T00:00:00"/>
    <x v="1"/>
    <s v="West"/>
    <x v="0"/>
    <x v="2"/>
    <x v="0"/>
    <n v="1"/>
    <n v="0"/>
    <n v="0"/>
    <x v="0"/>
    <n v="0"/>
    <n v="0"/>
    <n v="0"/>
    <n v="0"/>
    <n v="93.2"/>
  </r>
  <r>
    <x v="1258"/>
    <d v="2025-01-18T00:00:00"/>
    <x v="1"/>
    <s v="West"/>
    <x v="0"/>
    <x v="2"/>
    <x v="0"/>
    <n v="1"/>
    <n v="0"/>
    <n v="0"/>
    <x v="0"/>
    <n v="0"/>
    <n v="0"/>
    <n v="0"/>
    <n v="0"/>
    <n v="59"/>
  </r>
  <r>
    <x v="1259"/>
    <d v="2025-03-21T00:00:00"/>
    <x v="1"/>
    <s v="North"/>
    <x v="1"/>
    <x v="1"/>
    <x v="1"/>
    <n v="1"/>
    <n v="0"/>
    <n v="0"/>
    <x v="0"/>
    <n v="0"/>
    <n v="0"/>
    <n v="0"/>
    <n v="0"/>
    <n v="37"/>
  </r>
  <r>
    <x v="1260"/>
    <d v="2025-04-02T00:00:00"/>
    <x v="1"/>
    <s v="North"/>
    <x v="0"/>
    <x v="2"/>
    <x v="1"/>
    <n v="1"/>
    <n v="0"/>
    <n v="0"/>
    <x v="0"/>
    <n v="0"/>
    <n v="0"/>
    <n v="0"/>
    <n v="0"/>
    <n v="47.5"/>
  </r>
  <r>
    <x v="1261"/>
    <d v="2025-02-16T00:00:00"/>
    <x v="1"/>
    <s v="West"/>
    <x v="0"/>
    <x v="1"/>
    <x v="1"/>
    <n v="1"/>
    <n v="1"/>
    <n v="1"/>
    <x v="0"/>
    <n v="0"/>
    <n v="0"/>
    <n v="0"/>
    <n v="0"/>
    <n v="78.7"/>
  </r>
  <r>
    <x v="1262"/>
    <d v="2025-02-18T00:00:00"/>
    <x v="1"/>
    <s v="North"/>
    <x v="1"/>
    <x v="4"/>
    <x v="1"/>
    <n v="1"/>
    <n v="0"/>
    <n v="0"/>
    <x v="0"/>
    <n v="0"/>
    <n v="0"/>
    <n v="0"/>
    <n v="0"/>
    <n v="49.6"/>
  </r>
  <r>
    <x v="1263"/>
    <d v="2025-01-09T00:00:00"/>
    <x v="1"/>
    <s v="East"/>
    <x v="1"/>
    <x v="1"/>
    <x v="1"/>
    <n v="1"/>
    <n v="0"/>
    <n v="0"/>
    <x v="0"/>
    <n v="0"/>
    <n v="0"/>
    <n v="0"/>
    <n v="0"/>
    <n v="58"/>
  </r>
  <r>
    <x v="1264"/>
    <d v="2025-02-18T00:00:00"/>
    <x v="1"/>
    <s v="North"/>
    <x v="0"/>
    <x v="2"/>
    <x v="1"/>
    <n v="1"/>
    <n v="0"/>
    <n v="0"/>
    <x v="0"/>
    <n v="0"/>
    <n v="1"/>
    <n v="0"/>
    <n v="0"/>
    <n v="54.4"/>
  </r>
  <r>
    <x v="1265"/>
    <d v="2025-01-10T00:00:00"/>
    <x v="1"/>
    <s v="East"/>
    <x v="1"/>
    <x v="3"/>
    <x v="1"/>
    <n v="0"/>
    <n v="0"/>
    <n v="0"/>
    <x v="0"/>
    <n v="0"/>
    <n v="0"/>
    <n v="0"/>
    <n v="0"/>
    <n v="33.700000000000003"/>
  </r>
  <r>
    <x v="1266"/>
    <d v="2025-03-08T00:00:00"/>
    <x v="1"/>
    <s v="West"/>
    <x v="1"/>
    <x v="0"/>
    <x v="1"/>
    <n v="1"/>
    <n v="0"/>
    <n v="0"/>
    <x v="0"/>
    <n v="0"/>
    <n v="0"/>
    <n v="0"/>
    <n v="0"/>
    <n v="72.7"/>
  </r>
  <r>
    <x v="1267"/>
    <d v="2025-04-16T00:00:00"/>
    <x v="1"/>
    <s v="East"/>
    <x v="0"/>
    <x v="2"/>
    <x v="0"/>
    <n v="0"/>
    <n v="0"/>
    <n v="0"/>
    <x v="0"/>
    <n v="0"/>
    <n v="0"/>
    <n v="0"/>
    <n v="0"/>
    <n v="64.7"/>
  </r>
  <r>
    <x v="1268"/>
    <d v="2025-02-19T00:00:00"/>
    <x v="1"/>
    <s v="West"/>
    <x v="0"/>
    <x v="2"/>
    <x v="2"/>
    <n v="0"/>
    <n v="0"/>
    <n v="0"/>
    <x v="0"/>
    <n v="0"/>
    <n v="1"/>
    <n v="0"/>
    <n v="0"/>
    <n v="48.6"/>
  </r>
  <r>
    <x v="1269"/>
    <d v="2025-03-16T00:00:00"/>
    <x v="1"/>
    <s v="East"/>
    <x v="0"/>
    <x v="4"/>
    <x v="1"/>
    <n v="1"/>
    <n v="1"/>
    <n v="0"/>
    <x v="0"/>
    <n v="0"/>
    <n v="0"/>
    <n v="0"/>
    <n v="0"/>
    <n v="66.2"/>
  </r>
  <r>
    <x v="1270"/>
    <d v="2025-02-03T00:00:00"/>
    <x v="1"/>
    <s v="West"/>
    <x v="3"/>
    <x v="3"/>
    <x v="0"/>
    <n v="1"/>
    <n v="0"/>
    <n v="0"/>
    <x v="0"/>
    <n v="0"/>
    <n v="1"/>
    <n v="0"/>
    <n v="0"/>
    <n v="60.7"/>
  </r>
  <r>
    <x v="1271"/>
    <d v="2025-03-12T00:00:00"/>
    <x v="1"/>
    <s v="West"/>
    <x v="1"/>
    <x v="2"/>
    <x v="0"/>
    <n v="1"/>
    <n v="0"/>
    <n v="0"/>
    <x v="0"/>
    <n v="0"/>
    <n v="0"/>
    <n v="0"/>
    <n v="0"/>
    <n v="36.5"/>
  </r>
  <r>
    <x v="1272"/>
    <d v="2025-05-09T00:00:00"/>
    <x v="1"/>
    <s v="West"/>
    <x v="1"/>
    <x v="4"/>
    <x v="1"/>
    <n v="1"/>
    <n v="1"/>
    <n v="1"/>
    <x v="0"/>
    <n v="0"/>
    <n v="3"/>
    <n v="0"/>
    <n v="0"/>
    <n v="69.7"/>
  </r>
  <r>
    <x v="1273"/>
    <d v="2025-01-19T00:00:00"/>
    <x v="1"/>
    <s v="South"/>
    <x v="0"/>
    <x v="4"/>
    <x v="2"/>
    <n v="1"/>
    <n v="0"/>
    <n v="0"/>
    <x v="0"/>
    <n v="0"/>
    <n v="0"/>
    <n v="0"/>
    <n v="0"/>
    <n v="81.8"/>
  </r>
  <r>
    <x v="1274"/>
    <d v="2025-01-24T00:00:00"/>
    <x v="1"/>
    <s v="West"/>
    <x v="1"/>
    <x v="3"/>
    <x v="1"/>
    <n v="1"/>
    <n v="1"/>
    <n v="1"/>
    <x v="0"/>
    <n v="0"/>
    <n v="1"/>
    <n v="0"/>
    <n v="0"/>
    <n v="78.3"/>
  </r>
  <r>
    <x v="1275"/>
    <d v="2025-03-03T00:00:00"/>
    <x v="1"/>
    <s v="East"/>
    <x v="1"/>
    <x v="3"/>
    <x v="1"/>
    <n v="1"/>
    <n v="1"/>
    <n v="0"/>
    <x v="0"/>
    <n v="0"/>
    <n v="0"/>
    <n v="0"/>
    <n v="0"/>
    <n v="79.400000000000006"/>
  </r>
  <r>
    <x v="1276"/>
    <d v="2025-05-27T00:00:00"/>
    <x v="1"/>
    <s v="North"/>
    <x v="0"/>
    <x v="3"/>
    <x v="1"/>
    <n v="1"/>
    <n v="1"/>
    <n v="1"/>
    <x v="0"/>
    <n v="0"/>
    <n v="0"/>
    <n v="0"/>
    <n v="0"/>
    <n v="54.9"/>
  </r>
  <r>
    <x v="1277"/>
    <d v="2025-04-23T00:00:00"/>
    <x v="1"/>
    <s v="West"/>
    <x v="0"/>
    <x v="1"/>
    <x v="0"/>
    <n v="1"/>
    <n v="0"/>
    <n v="0"/>
    <x v="0"/>
    <n v="0"/>
    <n v="0"/>
    <n v="0"/>
    <n v="0"/>
    <n v="54.9"/>
  </r>
  <r>
    <x v="1278"/>
    <d v="2025-02-10T00:00:00"/>
    <x v="1"/>
    <s v="East"/>
    <x v="0"/>
    <x v="4"/>
    <x v="1"/>
    <n v="0"/>
    <n v="0"/>
    <n v="0"/>
    <x v="0"/>
    <n v="0"/>
    <n v="0"/>
    <n v="0"/>
    <n v="0"/>
    <n v="28.7"/>
  </r>
  <r>
    <x v="1279"/>
    <d v="2025-02-11T00:00:00"/>
    <x v="1"/>
    <s v="North"/>
    <x v="1"/>
    <x v="1"/>
    <x v="1"/>
    <n v="0"/>
    <n v="0"/>
    <n v="0"/>
    <x v="0"/>
    <n v="0"/>
    <n v="0"/>
    <n v="0"/>
    <n v="0"/>
    <n v="68.8"/>
  </r>
  <r>
    <x v="1280"/>
    <d v="2025-01-21T00:00:00"/>
    <x v="1"/>
    <s v="East"/>
    <x v="0"/>
    <x v="2"/>
    <x v="1"/>
    <n v="1"/>
    <n v="1"/>
    <n v="1"/>
    <x v="0"/>
    <n v="0"/>
    <n v="0"/>
    <n v="0"/>
    <n v="0"/>
    <n v="43.5"/>
  </r>
  <r>
    <x v="1281"/>
    <d v="2025-02-02T00:00:00"/>
    <x v="1"/>
    <s v="West"/>
    <x v="0"/>
    <x v="4"/>
    <x v="1"/>
    <n v="1"/>
    <n v="1"/>
    <n v="0"/>
    <x v="0"/>
    <n v="0"/>
    <n v="0"/>
    <n v="0"/>
    <n v="0"/>
    <n v="62.6"/>
  </r>
  <r>
    <x v="1282"/>
    <d v="2025-02-02T00:00:00"/>
    <x v="1"/>
    <s v="West"/>
    <x v="1"/>
    <x v="1"/>
    <x v="1"/>
    <n v="0"/>
    <n v="0"/>
    <n v="0"/>
    <x v="0"/>
    <n v="0"/>
    <n v="1"/>
    <n v="0"/>
    <n v="0"/>
    <n v="54.1"/>
  </r>
  <r>
    <x v="1283"/>
    <d v="2025-02-26T00:00:00"/>
    <x v="1"/>
    <s v="West"/>
    <x v="2"/>
    <x v="4"/>
    <x v="1"/>
    <n v="1"/>
    <n v="1"/>
    <n v="1"/>
    <x v="0"/>
    <n v="0"/>
    <n v="0"/>
    <n v="0"/>
    <n v="0"/>
    <n v="80.099999999999994"/>
  </r>
  <r>
    <x v="1284"/>
    <d v="2025-04-22T00:00:00"/>
    <x v="1"/>
    <s v="North"/>
    <x v="1"/>
    <x v="4"/>
    <x v="2"/>
    <n v="1"/>
    <n v="0"/>
    <n v="0"/>
    <x v="0"/>
    <n v="0"/>
    <n v="0"/>
    <n v="0"/>
    <n v="0"/>
    <n v="69.5"/>
  </r>
  <r>
    <x v="1285"/>
    <d v="2025-03-11T00:00:00"/>
    <x v="1"/>
    <s v="North"/>
    <x v="0"/>
    <x v="1"/>
    <x v="0"/>
    <n v="0"/>
    <n v="0"/>
    <n v="0"/>
    <x v="0"/>
    <n v="0"/>
    <n v="2"/>
    <n v="0"/>
    <n v="0"/>
    <n v="46.6"/>
  </r>
  <r>
    <x v="1286"/>
    <d v="2025-05-08T00:00:00"/>
    <x v="1"/>
    <s v="South"/>
    <x v="1"/>
    <x v="1"/>
    <x v="2"/>
    <n v="1"/>
    <n v="0"/>
    <n v="0"/>
    <x v="0"/>
    <n v="0"/>
    <n v="1"/>
    <n v="0"/>
    <n v="0"/>
    <n v="54.9"/>
  </r>
  <r>
    <x v="1287"/>
    <d v="2025-03-10T00:00:00"/>
    <x v="1"/>
    <s v="East"/>
    <x v="0"/>
    <x v="1"/>
    <x v="1"/>
    <n v="0"/>
    <n v="0"/>
    <n v="0"/>
    <x v="0"/>
    <n v="0"/>
    <n v="0"/>
    <n v="0"/>
    <n v="0"/>
    <n v="100"/>
  </r>
  <r>
    <x v="1288"/>
    <d v="2025-04-16T00:00:00"/>
    <x v="1"/>
    <s v="East"/>
    <x v="0"/>
    <x v="2"/>
    <x v="1"/>
    <n v="1"/>
    <n v="1"/>
    <n v="1"/>
    <x v="0"/>
    <n v="0"/>
    <n v="1"/>
    <n v="0"/>
    <n v="0"/>
    <n v="80.5"/>
  </r>
  <r>
    <x v="1289"/>
    <d v="2025-03-01T00:00:00"/>
    <x v="1"/>
    <s v="West"/>
    <x v="2"/>
    <x v="1"/>
    <x v="0"/>
    <n v="1"/>
    <n v="0"/>
    <n v="0"/>
    <x v="0"/>
    <n v="0"/>
    <n v="0"/>
    <n v="0"/>
    <n v="0"/>
    <n v="51.2"/>
  </r>
  <r>
    <x v="1290"/>
    <d v="2025-01-18T00:00:00"/>
    <x v="1"/>
    <s v="South"/>
    <x v="0"/>
    <x v="1"/>
    <x v="2"/>
    <n v="1"/>
    <n v="0"/>
    <n v="0"/>
    <x v="0"/>
    <n v="0"/>
    <n v="0"/>
    <n v="0"/>
    <n v="0"/>
    <n v="42.5"/>
  </r>
  <r>
    <x v="1291"/>
    <d v="2025-03-30T00:00:00"/>
    <x v="1"/>
    <s v="North"/>
    <x v="1"/>
    <x v="2"/>
    <x v="1"/>
    <n v="0"/>
    <n v="0"/>
    <n v="0"/>
    <x v="0"/>
    <n v="0"/>
    <n v="0"/>
    <n v="0"/>
    <n v="0"/>
    <n v="72.5"/>
  </r>
  <r>
    <x v="1292"/>
    <d v="2025-05-26T00:00:00"/>
    <x v="1"/>
    <s v="West"/>
    <x v="1"/>
    <x v="4"/>
    <x v="2"/>
    <n v="0"/>
    <n v="0"/>
    <n v="0"/>
    <x v="0"/>
    <n v="0"/>
    <n v="0"/>
    <n v="0"/>
    <n v="0"/>
    <n v="74.400000000000006"/>
  </r>
  <r>
    <x v="1293"/>
    <d v="2025-03-19T00:00:00"/>
    <x v="1"/>
    <s v="East"/>
    <x v="0"/>
    <x v="4"/>
    <x v="1"/>
    <n v="0"/>
    <n v="0"/>
    <n v="0"/>
    <x v="0"/>
    <n v="0"/>
    <n v="0"/>
    <n v="0"/>
    <n v="0"/>
    <n v="78.400000000000006"/>
  </r>
  <r>
    <x v="1294"/>
    <d v="2025-03-28T00:00:00"/>
    <x v="1"/>
    <s v="North"/>
    <x v="0"/>
    <x v="3"/>
    <x v="1"/>
    <n v="1"/>
    <n v="0"/>
    <n v="0"/>
    <x v="0"/>
    <n v="0"/>
    <n v="0"/>
    <n v="0"/>
    <n v="0"/>
    <n v="71.5"/>
  </r>
  <r>
    <x v="1295"/>
    <d v="2025-05-28T00:00:00"/>
    <x v="1"/>
    <s v="South"/>
    <x v="0"/>
    <x v="4"/>
    <x v="1"/>
    <n v="1"/>
    <n v="0"/>
    <n v="0"/>
    <x v="0"/>
    <n v="0"/>
    <n v="0"/>
    <n v="0"/>
    <n v="0"/>
    <n v="66.7"/>
  </r>
  <r>
    <x v="1296"/>
    <d v="2025-05-31T00:00:00"/>
    <x v="1"/>
    <s v="South"/>
    <x v="0"/>
    <x v="3"/>
    <x v="2"/>
    <n v="1"/>
    <n v="1"/>
    <n v="1"/>
    <x v="1"/>
    <n v="1496.09"/>
    <n v="0"/>
    <n v="0"/>
    <n v="7"/>
    <n v="60.4"/>
  </r>
  <r>
    <x v="1297"/>
    <d v="2025-05-10T00:00:00"/>
    <x v="1"/>
    <s v="North"/>
    <x v="1"/>
    <x v="3"/>
    <x v="1"/>
    <n v="0"/>
    <n v="0"/>
    <n v="0"/>
    <x v="0"/>
    <n v="0"/>
    <n v="1"/>
    <n v="0"/>
    <n v="0"/>
    <n v="72.900000000000006"/>
  </r>
  <r>
    <x v="1298"/>
    <d v="2025-05-17T00:00:00"/>
    <x v="1"/>
    <s v="West"/>
    <x v="1"/>
    <x v="1"/>
    <x v="1"/>
    <n v="0"/>
    <n v="0"/>
    <n v="0"/>
    <x v="0"/>
    <n v="0"/>
    <n v="3"/>
    <n v="0"/>
    <n v="0"/>
    <n v="0"/>
  </r>
  <r>
    <x v="1299"/>
    <d v="2025-01-18T00:00:00"/>
    <x v="1"/>
    <s v="South"/>
    <x v="1"/>
    <x v="1"/>
    <x v="2"/>
    <n v="1"/>
    <n v="0"/>
    <n v="0"/>
    <x v="0"/>
    <n v="0"/>
    <n v="0"/>
    <n v="0"/>
    <n v="0"/>
    <n v="55.2"/>
  </r>
  <r>
    <x v="1300"/>
    <d v="2025-05-04T00:00:00"/>
    <x v="1"/>
    <s v="West"/>
    <x v="1"/>
    <x v="4"/>
    <x v="1"/>
    <n v="1"/>
    <n v="0"/>
    <n v="0"/>
    <x v="0"/>
    <n v="0"/>
    <n v="0"/>
    <n v="0"/>
    <n v="0"/>
    <n v="67.8"/>
  </r>
  <r>
    <x v="1301"/>
    <d v="2025-03-25T00:00:00"/>
    <x v="1"/>
    <s v="North"/>
    <x v="1"/>
    <x v="1"/>
    <x v="1"/>
    <n v="1"/>
    <n v="0"/>
    <n v="0"/>
    <x v="0"/>
    <n v="0"/>
    <n v="2"/>
    <n v="0"/>
    <n v="0"/>
    <n v="70"/>
  </r>
  <r>
    <x v="1302"/>
    <d v="2025-02-27T00:00:00"/>
    <x v="1"/>
    <s v="North"/>
    <x v="1"/>
    <x v="4"/>
    <x v="0"/>
    <n v="1"/>
    <n v="1"/>
    <n v="1"/>
    <x v="0"/>
    <n v="0"/>
    <n v="0"/>
    <n v="0"/>
    <n v="0"/>
    <n v="51.1"/>
  </r>
  <r>
    <x v="1303"/>
    <d v="2025-01-14T00:00:00"/>
    <x v="1"/>
    <s v="West"/>
    <x v="1"/>
    <x v="2"/>
    <x v="0"/>
    <n v="1"/>
    <n v="1"/>
    <n v="1"/>
    <x v="0"/>
    <n v="0"/>
    <n v="0"/>
    <n v="0"/>
    <n v="0"/>
    <n v="57"/>
  </r>
  <r>
    <x v="1304"/>
    <d v="2025-04-11T00:00:00"/>
    <x v="1"/>
    <s v="East"/>
    <x v="1"/>
    <x v="4"/>
    <x v="1"/>
    <n v="0"/>
    <n v="0"/>
    <n v="0"/>
    <x v="0"/>
    <n v="0"/>
    <n v="1"/>
    <n v="0"/>
    <n v="0"/>
    <n v="47.1"/>
  </r>
  <r>
    <x v="1305"/>
    <d v="2025-03-26T00:00:00"/>
    <x v="1"/>
    <s v="East"/>
    <x v="0"/>
    <x v="4"/>
    <x v="0"/>
    <n v="0"/>
    <n v="0"/>
    <n v="0"/>
    <x v="0"/>
    <n v="0"/>
    <n v="0"/>
    <n v="0"/>
    <n v="0"/>
    <n v="30.7"/>
  </r>
  <r>
    <x v="1306"/>
    <d v="2025-02-12T00:00:00"/>
    <x v="1"/>
    <s v="West"/>
    <x v="0"/>
    <x v="4"/>
    <x v="1"/>
    <n v="1"/>
    <n v="0"/>
    <n v="0"/>
    <x v="0"/>
    <n v="0"/>
    <n v="0"/>
    <n v="0"/>
    <n v="0"/>
    <n v="57.3"/>
  </r>
  <r>
    <x v="1307"/>
    <d v="2025-02-18T00:00:00"/>
    <x v="1"/>
    <s v="West"/>
    <x v="2"/>
    <x v="2"/>
    <x v="0"/>
    <n v="1"/>
    <n v="0"/>
    <n v="0"/>
    <x v="0"/>
    <n v="0"/>
    <n v="0"/>
    <n v="0"/>
    <n v="0"/>
    <n v="70"/>
  </r>
  <r>
    <x v="1308"/>
    <d v="2025-05-25T00:00:00"/>
    <x v="1"/>
    <s v="East"/>
    <x v="0"/>
    <x v="4"/>
    <x v="1"/>
    <n v="1"/>
    <n v="1"/>
    <n v="1"/>
    <x v="0"/>
    <n v="0"/>
    <n v="0"/>
    <n v="0"/>
    <n v="0"/>
    <n v="59.7"/>
  </r>
  <r>
    <x v="1309"/>
    <d v="2025-05-23T00:00:00"/>
    <x v="1"/>
    <s v="East"/>
    <x v="0"/>
    <x v="2"/>
    <x v="0"/>
    <n v="1"/>
    <n v="0"/>
    <n v="0"/>
    <x v="0"/>
    <n v="0"/>
    <n v="0"/>
    <n v="0"/>
    <n v="0"/>
    <n v="68.8"/>
  </r>
  <r>
    <x v="1310"/>
    <d v="2025-01-16T00:00:00"/>
    <x v="1"/>
    <s v="North"/>
    <x v="0"/>
    <x v="1"/>
    <x v="1"/>
    <n v="1"/>
    <n v="1"/>
    <n v="1"/>
    <x v="1"/>
    <n v="428.37"/>
    <n v="0"/>
    <n v="0"/>
    <n v="9"/>
    <n v="88.3"/>
  </r>
  <r>
    <x v="1311"/>
    <d v="2025-01-19T00:00:00"/>
    <x v="1"/>
    <s v="West"/>
    <x v="0"/>
    <x v="0"/>
    <x v="0"/>
    <n v="0"/>
    <n v="0"/>
    <n v="0"/>
    <x v="0"/>
    <n v="0"/>
    <n v="0"/>
    <n v="0"/>
    <n v="0"/>
    <n v="83.4"/>
  </r>
  <r>
    <x v="1312"/>
    <d v="2025-05-18T00:00:00"/>
    <x v="1"/>
    <s v="South"/>
    <x v="1"/>
    <x v="3"/>
    <x v="1"/>
    <n v="0"/>
    <n v="0"/>
    <n v="0"/>
    <x v="0"/>
    <n v="0"/>
    <n v="1"/>
    <n v="0"/>
    <n v="0"/>
    <n v="81.599999999999994"/>
  </r>
  <r>
    <x v="1313"/>
    <d v="2025-01-23T00:00:00"/>
    <x v="1"/>
    <s v="East"/>
    <x v="2"/>
    <x v="4"/>
    <x v="2"/>
    <n v="1"/>
    <n v="0"/>
    <n v="0"/>
    <x v="0"/>
    <n v="0"/>
    <n v="0"/>
    <n v="0"/>
    <n v="0"/>
    <n v="91.6"/>
  </r>
  <r>
    <x v="1314"/>
    <d v="2025-01-08T00:00:00"/>
    <x v="1"/>
    <s v="East"/>
    <x v="2"/>
    <x v="5"/>
    <x v="2"/>
    <n v="1"/>
    <n v="1"/>
    <n v="1"/>
    <x v="0"/>
    <n v="0"/>
    <n v="1"/>
    <n v="0"/>
    <n v="0"/>
    <n v="61.5"/>
  </r>
  <r>
    <x v="1315"/>
    <d v="2025-02-19T00:00:00"/>
    <x v="1"/>
    <s v="North"/>
    <x v="1"/>
    <x v="1"/>
    <x v="2"/>
    <n v="0"/>
    <n v="0"/>
    <n v="0"/>
    <x v="0"/>
    <n v="0"/>
    <n v="0"/>
    <n v="0"/>
    <n v="0"/>
    <n v="0"/>
  </r>
  <r>
    <x v="1316"/>
    <d v="2025-02-10T00:00:00"/>
    <x v="1"/>
    <s v="South"/>
    <x v="1"/>
    <x v="1"/>
    <x v="1"/>
    <n v="1"/>
    <n v="0"/>
    <n v="0"/>
    <x v="0"/>
    <n v="0"/>
    <n v="0"/>
    <n v="0"/>
    <n v="0"/>
    <n v="32.6"/>
  </r>
  <r>
    <x v="1317"/>
    <d v="2025-04-13T00:00:00"/>
    <x v="1"/>
    <s v="South"/>
    <x v="1"/>
    <x v="2"/>
    <x v="1"/>
    <n v="1"/>
    <n v="0"/>
    <n v="0"/>
    <x v="0"/>
    <n v="0"/>
    <n v="0"/>
    <n v="0"/>
    <n v="0"/>
    <n v="73.900000000000006"/>
  </r>
  <r>
    <x v="1318"/>
    <d v="2025-05-20T00:00:00"/>
    <x v="1"/>
    <s v="East"/>
    <x v="1"/>
    <x v="1"/>
    <x v="1"/>
    <n v="1"/>
    <n v="1"/>
    <n v="1"/>
    <x v="1"/>
    <n v="444.06"/>
    <n v="0"/>
    <n v="0"/>
    <n v="9"/>
    <n v="99.9"/>
  </r>
  <r>
    <x v="1319"/>
    <d v="2025-05-13T00:00:00"/>
    <x v="1"/>
    <s v="South"/>
    <x v="1"/>
    <x v="2"/>
    <x v="0"/>
    <n v="1"/>
    <n v="1"/>
    <n v="0"/>
    <x v="0"/>
    <n v="0"/>
    <n v="1"/>
    <n v="0"/>
    <n v="0"/>
    <n v="62.4"/>
  </r>
  <r>
    <x v="1320"/>
    <d v="2025-05-28T00:00:00"/>
    <x v="1"/>
    <s v="South"/>
    <x v="0"/>
    <x v="2"/>
    <x v="0"/>
    <n v="1"/>
    <n v="0"/>
    <n v="0"/>
    <x v="0"/>
    <n v="0"/>
    <n v="0"/>
    <n v="0"/>
    <n v="0"/>
    <n v="46.1"/>
  </r>
  <r>
    <x v="1321"/>
    <d v="2025-03-19T00:00:00"/>
    <x v="1"/>
    <s v="West"/>
    <x v="1"/>
    <x v="1"/>
    <x v="1"/>
    <n v="1"/>
    <n v="1"/>
    <n v="1"/>
    <x v="1"/>
    <n v="2660.21"/>
    <n v="0"/>
    <n v="0"/>
    <n v="3"/>
    <n v="73.900000000000006"/>
  </r>
  <r>
    <x v="1322"/>
    <d v="2025-02-03T00:00:00"/>
    <x v="1"/>
    <s v="North"/>
    <x v="1"/>
    <x v="0"/>
    <x v="2"/>
    <n v="0"/>
    <n v="0"/>
    <n v="0"/>
    <x v="0"/>
    <n v="0"/>
    <n v="0"/>
    <n v="0"/>
    <n v="0"/>
    <n v="90"/>
  </r>
  <r>
    <x v="1323"/>
    <d v="2025-02-26T00:00:00"/>
    <x v="1"/>
    <s v="South"/>
    <x v="1"/>
    <x v="0"/>
    <x v="0"/>
    <n v="1"/>
    <n v="0"/>
    <n v="0"/>
    <x v="0"/>
    <n v="0"/>
    <n v="1"/>
    <n v="0"/>
    <n v="0"/>
    <n v="68.8"/>
  </r>
  <r>
    <x v="1324"/>
    <d v="2025-01-26T00:00:00"/>
    <x v="1"/>
    <s v="West"/>
    <x v="1"/>
    <x v="2"/>
    <x v="1"/>
    <n v="1"/>
    <n v="0"/>
    <n v="0"/>
    <x v="0"/>
    <n v="0"/>
    <n v="0"/>
    <n v="0"/>
    <n v="0"/>
    <n v="66.599999999999994"/>
  </r>
  <r>
    <x v="1325"/>
    <d v="2025-05-13T00:00:00"/>
    <x v="1"/>
    <s v="North"/>
    <x v="1"/>
    <x v="1"/>
    <x v="2"/>
    <n v="1"/>
    <n v="0"/>
    <n v="0"/>
    <x v="0"/>
    <n v="0"/>
    <n v="0"/>
    <n v="0"/>
    <n v="0"/>
    <n v="49.7"/>
  </r>
  <r>
    <x v="1326"/>
    <d v="2025-02-02T00:00:00"/>
    <x v="1"/>
    <s v="South"/>
    <x v="1"/>
    <x v="2"/>
    <x v="0"/>
    <n v="0"/>
    <n v="0"/>
    <n v="0"/>
    <x v="0"/>
    <n v="0"/>
    <n v="0"/>
    <n v="0"/>
    <n v="0"/>
    <n v="67.900000000000006"/>
  </r>
  <r>
    <x v="1327"/>
    <d v="2025-04-30T00:00:00"/>
    <x v="1"/>
    <s v="West"/>
    <x v="1"/>
    <x v="5"/>
    <x v="0"/>
    <n v="0"/>
    <n v="0"/>
    <n v="0"/>
    <x v="0"/>
    <n v="0"/>
    <n v="0"/>
    <n v="0"/>
    <n v="0"/>
    <n v="66.900000000000006"/>
  </r>
  <r>
    <x v="1328"/>
    <d v="2025-03-29T00:00:00"/>
    <x v="1"/>
    <s v="East"/>
    <x v="1"/>
    <x v="1"/>
    <x v="1"/>
    <n v="0"/>
    <n v="0"/>
    <n v="0"/>
    <x v="0"/>
    <n v="0"/>
    <n v="0"/>
    <n v="0"/>
    <n v="0"/>
    <n v="46.1"/>
  </r>
  <r>
    <x v="1329"/>
    <d v="2025-04-09T00:00:00"/>
    <x v="1"/>
    <s v="West"/>
    <x v="0"/>
    <x v="3"/>
    <x v="2"/>
    <n v="1"/>
    <n v="0"/>
    <n v="0"/>
    <x v="0"/>
    <n v="0"/>
    <n v="0"/>
    <n v="0"/>
    <n v="0"/>
    <n v="85.6"/>
  </r>
  <r>
    <x v="1330"/>
    <d v="2025-01-22T00:00:00"/>
    <x v="1"/>
    <s v="South"/>
    <x v="2"/>
    <x v="1"/>
    <x v="1"/>
    <n v="0"/>
    <n v="0"/>
    <n v="0"/>
    <x v="0"/>
    <n v="0"/>
    <n v="0"/>
    <n v="0"/>
    <n v="0"/>
    <n v="39.6"/>
  </r>
  <r>
    <x v="1331"/>
    <d v="2025-01-27T00:00:00"/>
    <x v="1"/>
    <s v="South"/>
    <x v="1"/>
    <x v="1"/>
    <x v="0"/>
    <n v="1"/>
    <n v="0"/>
    <n v="0"/>
    <x v="0"/>
    <n v="0"/>
    <n v="0"/>
    <n v="0"/>
    <n v="0"/>
    <n v="52.5"/>
  </r>
  <r>
    <x v="1332"/>
    <d v="2025-01-22T00:00:00"/>
    <x v="1"/>
    <s v="East"/>
    <x v="1"/>
    <x v="4"/>
    <x v="2"/>
    <n v="1"/>
    <n v="0"/>
    <n v="0"/>
    <x v="0"/>
    <n v="0"/>
    <n v="0"/>
    <n v="0"/>
    <n v="0"/>
    <n v="73.5"/>
  </r>
  <r>
    <x v="1333"/>
    <d v="2025-01-06T00:00:00"/>
    <x v="1"/>
    <s v="West"/>
    <x v="0"/>
    <x v="2"/>
    <x v="1"/>
    <n v="0"/>
    <n v="0"/>
    <n v="0"/>
    <x v="0"/>
    <n v="0"/>
    <n v="0"/>
    <n v="0"/>
    <n v="0"/>
    <n v="62.5"/>
  </r>
  <r>
    <x v="1334"/>
    <d v="2025-04-16T00:00:00"/>
    <x v="1"/>
    <s v="South"/>
    <x v="3"/>
    <x v="1"/>
    <x v="1"/>
    <n v="1"/>
    <n v="0"/>
    <n v="0"/>
    <x v="0"/>
    <n v="0"/>
    <n v="0"/>
    <n v="0"/>
    <n v="0"/>
    <n v="76.900000000000006"/>
  </r>
  <r>
    <x v="1335"/>
    <d v="2025-04-14T00:00:00"/>
    <x v="1"/>
    <s v="South"/>
    <x v="1"/>
    <x v="1"/>
    <x v="1"/>
    <n v="1"/>
    <n v="0"/>
    <n v="0"/>
    <x v="0"/>
    <n v="0"/>
    <n v="0"/>
    <n v="0"/>
    <n v="0"/>
    <n v="51.4"/>
  </r>
  <r>
    <x v="1336"/>
    <d v="2025-02-22T00:00:00"/>
    <x v="1"/>
    <s v="West"/>
    <x v="1"/>
    <x v="2"/>
    <x v="0"/>
    <n v="1"/>
    <n v="0"/>
    <n v="0"/>
    <x v="0"/>
    <n v="0"/>
    <n v="0"/>
    <n v="0"/>
    <n v="0"/>
    <n v="59.3"/>
  </r>
  <r>
    <x v="1337"/>
    <d v="2025-03-09T00:00:00"/>
    <x v="1"/>
    <s v="North"/>
    <x v="1"/>
    <x v="1"/>
    <x v="0"/>
    <n v="0"/>
    <n v="0"/>
    <n v="0"/>
    <x v="0"/>
    <n v="0"/>
    <n v="0"/>
    <n v="0"/>
    <n v="0"/>
    <n v="74.900000000000006"/>
  </r>
  <r>
    <x v="1338"/>
    <d v="2025-04-20T00:00:00"/>
    <x v="1"/>
    <s v="West"/>
    <x v="0"/>
    <x v="1"/>
    <x v="1"/>
    <n v="1"/>
    <n v="0"/>
    <n v="0"/>
    <x v="0"/>
    <n v="0"/>
    <n v="0"/>
    <n v="0"/>
    <n v="0"/>
    <n v="67"/>
  </r>
  <r>
    <x v="1339"/>
    <d v="2025-03-10T00:00:00"/>
    <x v="1"/>
    <s v="South"/>
    <x v="1"/>
    <x v="0"/>
    <x v="1"/>
    <n v="0"/>
    <n v="0"/>
    <n v="0"/>
    <x v="0"/>
    <n v="0"/>
    <n v="0"/>
    <n v="0"/>
    <n v="0"/>
    <n v="63.6"/>
  </r>
  <r>
    <x v="1340"/>
    <d v="2025-02-21T00:00:00"/>
    <x v="1"/>
    <s v="South"/>
    <x v="1"/>
    <x v="0"/>
    <x v="1"/>
    <n v="1"/>
    <n v="1"/>
    <n v="0"/>
    <x v="0"/>
    <n v="0"/>
    <n v="1"/>
    <n v="0"/>
    <n v="0"/>
    <n v="58.4"/>
  </r>
  <r>
    <x v="1341"/>
    <d v="2025-01-06T00:00:00"/>
    <x v="1"/>
    <s v="North"/>
    <x v="0"/>
    <x v="4"/>
    <x v="1"/>
    <n v="1"/>
    <n v="0"/>
    <n v="0"/>
    <x v="0"/>
    <n v="0"/>
    <n v="0"/>
    <n v="0"/>
    <n v="0"/>
    <n v="36.799999999999997"/>
  </r>
  <r>
    <x v="1342"/>
    <d v="2025-04-17T00:00:00"/>
    <x v="1"/>
    <s v="South"/>
    <x v="1"/>
    <x v="1"/>
    <x v="2"/>
    <n v="1"/>
    <n v="0"/>
    <n v="0"/>
    <x v="0"/>
    <n v="0"/>
    <n v="0"/>
    <n v="0"/>
    <n v="0"/>
    <n v="71.599999999999994"/>
  </r>
  <r>
    <x v="1343"/>
    <d v="2025-05-23T00:00:00"/>
    <x v="1"/>
    <s v="South"/>
    <x v="1"/>
    <x v="0"/>
    <x v="0"/>
    <n v="1"/>
    <n v="1"/>
    <n v="0"/>
    <x v="0"/>
    <n v="0"/>
    <n v="1"/>
    <n v="0"/>
    <n v="0"/>
    <n v="79.7"/>
  </r>
  <r>
    <x v="1344"/>
    <d v="2025-03-14T00:00:00"/>
    <x v="1"/>
    <s v="West"/>
    <x v="0"/>
    <x v="1"/>
    <x v="0"/>
    <n v="1"/>
    <n v="0"/>
    <n v="0"/>
    <x v="0"/>
    <n v="0"/>
    <n v="1"/>
    <n v="0"/>
    <n v="0"/>
    <n v="56.5"/>
  </r>
  <r>
    <x v="1345"/>
    <d v="2025-04-21T00:00:00"/>
    <x v="1"/>
    <s v="North"/>
    <x v="1"/>
    <x v="4"/>
    <x v="2"/>
    <n v="1"/>
    <n v="0"/>
    <n v="0"/>
    <x v="0"/>
    <n v="0"/>
    <n v="0"/>
    <n v="0"/>
    <n v="0"/>
    <n v="44.7"/>
  </r>
  <r>
    <x v="1346"/>
    <d v="2025-01-03T00:00:00"/>
    <x v="1"/>
    <s v="South"/>
    <x v="1"/>
    <x v="4"/>
    <x v="1"/>
    <n v="1"/>
    <n v="1"/>
    <n v="1"/>
    <x v="0"/>
    <n v="0"/>
    <n v="1"/>
    <n v="0"/>
    <n v="0"/>
    <n v="66"/>
  </r>
  <r>
    <x v="1347"/>
    <d v="2025-05-09T00:00:00"/>
    <x v="1"/>
    <s v="North"/>
    <x v="0"/>
    <x v="1"/>
    <x v="0"/>
    <n v="1"/>
    <n v="0"/>
    <n v="0"/>
    <x v="0"/>
    <n v="0"/>
    <n v="0"/>
    <n v="0"/>
    <n v="0"/>
    <n v="73"/>
  </r>
  <r>
    <x v="1348"/>
    <d v="2025-05-22T00:00:00"/>
    <x v="1"/>
    <s v="South"/>
    <x v="1"/>
    <x v="1"/>
    <x v="0"/>
    <n v="1"/>
    <n v="1"/>
    <n v="1"/>
    <x v="0"/>
    <n v="0"/>
    <n v="1"/>
    <n v="0"/>
    <n v="0"/>
    <n v="72.5"/>
  </r>
  <r>
    <x v="1349"/>
    <d v="2025-05-07T00:00:00"/>
    <x v="1"/>
    <s v="South"/>
    <x v="0"/>
    <x v="2"/>
    <x v="1"/>
    <n v="1"/>
    <n v="1"/>
    <n v="1"/>
    <x v="1"/>
    <n v="323.60000000000002"/>
    <n v="0"/>
    <n v="0"/>
    <n v="6"/>
    <n v="100"/>
  </r>
  <r>
    <x v="1350"/>
    <d v="2025-02-08T00:00:00"/>
    <x v="1"/>
    <s v="East"/>
    <x v="1"/>
    <x v="4"/>
    <x v="1"/>
    <n v="0"/>
    <n v="0"/>
    <n v="0"/>
    <x v="0"/>
    <n v="0"/>
    <n v="1"/>
    <n v="0"/>
    <n v="0"/>
    <n v="90.5"/>
  </r>
  <r>
    <x v="1351"/>
    <d v="2025-04-03T00:00:00"/>
    <x v="1"/>
    <s v="North"/>
    <x v="2"/>
    <x v="4"/>
    <x v="0"/>
    <n v="1"/>
    <n v="0"/>
    <n v="0"/>
    <x v="0"/>
    <n v="0"/>
    <n v="0"/>
    <n v="0"/>
    <n v="0"/>
    <n v="70.2"/>
  </r>
  <r>
    <x v="1352"/>
    <d v="2025-04-17T00:00:00"/>
    <x v="1"/>
    <s v="East"/>
    <x v="0"/>
    <x v="2"/>
    <x v="1"/>
    <n v="1"/>
    <n v="0"/>
    <n v="0"/>
    <x v="0"/>
    <n v="0"/>
    <n v="1"/>
    <n v="0"/>
    <n v="0"/>
    <n v="67.099999999999994"/>
  </r>
  <r>
    <x v="1353"/>
    <d v="2025-05-04T00:00:00"/>
    <x v="1"/>
    <s v="East"/>
    <x v="1"/>
    <x v="1"/>
    <x v="1"/>
    <n v="0"/>
    <n v="0"/>
    <n v="0"/>
    <x v="0"/>
    <n v="0"/>
    <n v="0"/>
    <n v="0"/>
    <n v="0"/>
    <n v="54.5"/>
  </r>
  <r>
    <x v="1354"/>
    <d v="2025-05-11T00:00:00"/>
    <x v="1"/>
    <s v="West"/>
    <x v="0"/>
    <x v="1"/>
    <x v="1"/>
    <n v="1"/>
    <n v="0"/>
    <n v="0"/>
    <x v="0"/>
    <n v="0"/>
    <n v="0"/>
    <n v="0"/>
    <n v="0"/>
    <n v="63.4"/>
  </r>
  <r>
    <x v="1355"/>
    <d v="2025-03-01T00:00:00"/>
    <x v="1"/>
    <s v="North"/>
    <x v="0"/>
    <x v="5"/>
    <x v="1"/>
    <n v="1"/>
    <n v="1"/>
    <n v="1"/>
    <x v="0"/>
    <n v="0"/>
    <n v="0"/>
    <n v="0"/>
    <n v="0"/>
    <n v="84.3"/>
  </r>
  <r>
    <x v="1356"/>
    <d v="2025-02-20T00:00:00"/>
    <x v="1"/>
    <s v="West"/>
    <x v="0"/>
    <x v="1"/>
    <x v="1"/>
    <n v="1"/>
    <n v="0"/>
    <n v="0"/>
    <x v="0"/>
    <n v="0"/>
    <n v="1"/>
    <n v="0"/>
    <n v="0"/>
    <n v="55"/>
  </r>
  <r>
    <x v="1357"/>
    <d v="2025-05-09T00:00:00"/>
    <x v="1"/>
    <s v="West"/>
    <x v="1"/>
    <x v="4"/>
    <x v="1"/>
    <n v="1"/>
    <n v="0"/>
    <n v="0"/>
    <x v="0"/>
    <n v="0"/>
    <n v="0"/>
    <n v="0"/>
    <n v="0"/>
    <n v="63.6"/>
  </r>
  <r>
    <x v="1358"/>
    <d v="2025-04-30T00:00:00"/>
    <x v="1"/>
    <s v="West"/>
    <x v="1"/>
    <x v="1"/>
    <x v="1"/>
    <n v="1"/>
    <n v="0"/>
    <n v="0"/>
    <x v="0"/>
    <n v="0"/>
    <n v="0"/>
    <n v="0"/>
    <n v="0"/>
    <n v="55.5"/>
  </r>
  <r>
    <x v="1359"/>
    <d v="2025-01-07T00:00:00"/>
    <x v="1"/>
    <s v="South"/>
    <x v="1"/>
    <x v="4"/>
    <x v="0"/>
    <n v="0"/>
    <n v="0"/>
    <n v="0"/>
    <x v="0"/>
    <n v="0"/>
    <n v="0"/>
    <n v="0"/>
    <n v="0"/>
    <n v="50.5"/>
  </r>
  <r>
    <x v="1360"/>
    <d v="2025-04-30T00:00:00"/>
    <x v="1"/>
    <s v="North"/>
    <x v="1"/>
    <x v="4"/>
    <x v="0"/>
    <n v="1"/>
    <n v="0"/>
    <n v="0"/>
    <x v="0"/>
    <n v="0"/>
    <n v="0"/>
    <n v="0"/>
    <n v="0"/>
    <n v="45.3"/>
  </r>
  <r>
    <x v="1361"/>
    <d v="2025-05-23T00:00:00"/>
    <x v="1"/>
    <s v="East"/>
    <x v="1"/>
    <x v="1"/>
    <x v="0"/>
    <n v="1"/>
    <n v="0"/>
    <n v="0"/>
    <x v="0"/>
    <n v="0"/>
    <n v="0"/>
    <n v="0"/>
    <n v="0"/>
    <n v="33.6"/>
  </r>
  <r>
    <x v="1362"/>
    <d v="2025-03-12T00:00:00"/>
    <x v="1"/>
    <s v="South"/>
    <x v="1"/>
    <x v="2"/>
    <x v="2"/>
    <n v="1"/>
    <n v="1"/>
    <n v="1"/>
    <x v="0"/>
    <n v="0"/>
    <n v="0"/>
    <n v="0"/>
    <n v="0"/>
    <n v="88.2"/>
  </r>
  <r>
    <x v="1363"/>
    <d v="2025-02-17T00:00:00"/>
    <x v="1"/>
    <s v="North"/>
    <x v="1"/>
    <x v="1"/>
    <x v="2"/>
    <n v="1"/>
    <n v="0"/>
    <n v="0"/>
    <x v="0"/>
    <n v="0"/>
    <n v="0"/>
    <n v="0"/>
    <n v="0"/>
    <n v="51.8"/>
  </r>
  <r>
    <x v="1364"/>
    <d v="2025-05-27T00:00:00"/>
    <x v="1"/>
    <s v="North"/>
    <x v="0"/>
    <x v="1"/>
    <x v="0"/>
    <n v="0"/>
    <n v="0"/>
    <n v="0"/>
    <x v="0"/>
    <n v="0"/>
    <n v="0"/>
    <n v="0"/>
    <n v="0"/>
    <n v="87.9"/>
  </r>
  <r>
    <x v="1365"/>
    <d v="2025-05-10T00:00:00"/>
    <x v="1"/>
    <s v="South"/>
    <x v="1"/>
    <x v="4"/>
    <x v="2"/>
    <n v="1"/>
    <n v="0"/>
    <n v="0"/>
    <x v="0"/>
    <n v="0"/>
    <n v="2"/>
    <n v="0"/>
    <n v="0"/>
    <n v="70.5"/>
  </r>
  <r>
    <x v="1366"/>
    <d v="2025-01-20T00:00:00"/>
    <x v="1"/>
    <s v="North"/>
    <x v="1"/>
    <x v="1"/>
    <x v="0"/>
    <n v="1"/>
    <n v="1"/>
    <n v="0"/>
    <x v="0"/>
    <n v="0"/>
    <n v="2"/>
    <n v="0"/>
    <n v="0"/>
    <n v="58.5"/>
  </r>
  <r>
    <x v="1367"/>
    <d v="2025-01-19T00:00:00"/>
    <x v="1"/>
    <s v="East"/>
    <x v="1"/>
    <x v="3"/>
    <x v="1"/>
    <n v="1"/>
    <n v="0"/>
    <n v="0"/>
    <x v="0"/>
    <n v="0"/>
    <n v="0"/>
    <n v="0"/>
    <n v="0"/>
    <n v="65.599999999999994"/>
  </r>
  <r>
    <x v="1368"/>
    <d v="2025-03-07T00:00:00"/>
    <x v="1"/>
    <s v="West"/>
    <x v="0"/>
    <x v="2"/>
    <x v="0"/>
    <n v="1"/>
    <n v="1"/>
    <n v="0"/>
    <x v="0"/>
    <n v="0"/>
    <n v="0"/>
    <n v="0"/>
    <n v="0"/>
    <n v="62.7"/>
  </r>
  <r>
    <x v="1369"/>
    <d v="2025-02-02T00:00:00"/>
    <x v="1"/>
    <s v="East"/>
    <x v="1"/>
    <x v="1"/>
    <x v="1"/>
    <n v="0"/>
    <n v="0"/>
    <n v="0"/>
    <x v="0"/>
    <n v="0"/>
    <n v="1"/>
    <n v="0"/>
    <n v="0"/>
    <n v="50.9"/>
  </r>
  <r>
    <x v="1370"/>
    <d v="2025-03-07T00:00:00"/>
    <x v="1"/>
    <s v="North"/>
    <x v="1"/>
    <x v="1"/>
    <x v="1"/>
    <n v="0"/>
    <n v="0"/>
    <n v="0"/>
    <x v="0"/>
    <n v="0"/>
    <n v="1"/>
    <n v="0"/>
    <n v="0"/>
    <n v="60.6"/>
  </r>
  <r>
    <x v="1371"/>
    <d v="2025-03-30T00:00:00"/>
    <x v="1"/>
    <s v="East"/>
    <x v="0"/>
    <x v="1"/>
    <x v="1"/>
    <n v="1"/>
    <n v="1"/>
    <n v="1"/>
    <x v="0"/>
    <n v="0"/>
    <n v="0"/>
    <n v="0"/>
    <n v="0"/>
    <n v="76.599999999999994"/>
  </r>
  <r>
    <x v="1372"/>
    <d v="2025-05-05T00:00:00"/>
    <x v="1"/>
    <s v="East"/>
    <x v="0"/>
    <x v="2"/>
    <x v="1"/>
    <n v="1"/>
    <n v="1"/>
    <n v="1"/>
    <x v="0"/>
    <n v="0"/>
    <n v="0"/>
    <n v="0"/>
    <n v="0"/>
    <n v="54.4"/>
  </r>
  <r>
    <x v="1373"/>
    <d v="2025-04-11T00:00:00"/>
    <x v="1"/>
    <s v="South"/>
    <x v="1"/>
    <x v="4"/>
    <x v="1"/>
    <n v="1"/>
    <n v="0"/>
    <n v="0"/>
    <x v="0"/>
    <n v="0"/>
    <n v="0"/>
    <n v="0"/>
    <n v="0"/>
    <n v="31.2"/>
  </r>
  <r>
    <x v="1374"/>
    <d v="2025-03-25T00:00:00"/>
    <x v="1"/>
    <s v="West"/>
    <x v="0"/>
    <x v="0"/>
    <x v="2"/>
    <n v="1"/>
    <n v="0"/>
    <n v="0"/>
    <x v="0"/>
    <n v="0"/>
    <n v="0"/>
    <n v="0"/>
    <n v="0"/>
    <n v="72.400000000000006"/>
  </r>
  <r>
    <x v="1375"/>
    <d v="2025-03-24T00:00:00"/>
    <x v="1"/>
    <s v="North"/>
    <x v="1"/>
    <x v="1"/>
    <x v="2"/>
    <n v="1"/>
    <n v="0"/>
    <n v="0"/>
    <x v="0"/>
    <n v="0"/>
    <n v="0"/>
    <n v="0"/>
    <n v="0"/>
    <n v="74.5"/>
  </r>
  <r>
    <x v="1376"/>
    <d v="2025-04-27T00:00:00"/>
    <x v="1"/>
    <s v="East"/>
    <x v="1"/>
    <x v="1"/>
    <x v="0"/>
    <n v="0"/>
    <n v="0"/>
    <n v="0"/>
    <x v="0"/>
    <n v="0"/>
    <n v="0"/>
    <n v="0"/>
    <n v="0"/>
    <n v="52.6"/>
  </r>
  <r>
    <x v="1377"/>
    <d v="2025-01-25T00:00:00"/>
    <x v="1"/>
    <s v="North"/>
    <x v="0"/>
    <x v="2"/>
    <x v="1"/>
    <n v="1"/>
    <n v="0"/>
    <n v="0"/>
    <x v="0"/>
    <n v="0"/>
    <n v="0"/>
    <n v="0"/>
    <n v="0"/>
    <n v="75.400000000000006"/>
  </r>
  <r>
    <x v="1378"/>
    <d v="2025-02-17T00:00:00"/>
    <x v="1"/>
    <s v="North"/>
    <x v="2"/>
    <x v="4"/>
    <x v="0"/>
    <n v="1"/>
    <n v="1"/>
    <n v="1"/>
    <x v="1"/>
    <n v="751.33"/>
    <n v="0"/>
    <n v="0"/>
    <n v="9"/>
    <n v="34"/>
  </r>
  <r>
    <x v="1379"/>
    <d v="2025-04-13T00:00:00"/>
    <x v="1"/>
    <s v="South"/>
    <x v="0"/>
    <x v="1"/>
    <x v="1"/>
    <n v="1"/>
    <n v="0"/>
    <n v="0"/>
    <x v="0"/>
    <n v="0"/>
    <n v="0"/>
    <n v="0"/>
    <n v="0"/>
    <n v="67.099999999999994"/>
  </r>
  <r>
    <x v="1380"/>
    <d v="2025-05-03T00:00:00"/>
    <x v="1"/>
    <s v="West"/>
    <x v="0"/>
    <x v="2"/>
    <x v="2"/>
    <n v="1"/>
    <n v="0"/>
    <n v="0"/>
    <x v="0"/>
    <n v="0"/>
    <n v="0"/>
    <n v="0"/>
    <n v="0"/>
    <n v="37.299999999999997"/>
  </r>
  <r>
    <x v="1381"/>
    <d v="2025-04-29T00:00:00"/>
    <x v="1"/>
    <s v="West"/>
    <x v="1"/>
    <x v="0"/>
    <x v="1"/>
    <n v="1"/>
    <n v="0"/>
    <n v="0"/>
    <x v="0"/>
    <n v="0"/>
    <n v="0"/>
    <n v="0"/>
    <n v="0"/>
    <n v="54.7"/>
  </r>
  <r>
    <x v="1382"/>
    <d v="2025-05-03T00:00:00"/>
    <x v="1"/>
    <s v="East"/>
    <x v="0"/>
    <x v="2"/>
    <x v="1"/>
    <n v="1"/>
    <n v="0"/>
    <n v="0"/>
    <x v="0"/>
    <n v="0"/>
    <n v="0"/>
    <n v="0"/>
    <n v="0"/>
    <n v="51.8"/>
  </r>
  <r>
    <x v="1383"/>
    <d v="2025-04-28T00:00:00"/>
    <x v="1"/>
    <s v="West"/>
    <x v="1"/>
    <x v="2"/>
    <x v="1"/>
    <n v="0"/>
    <n v="0"/>
    <n v="0"/>
    <x v="0"/>
    <n v="0"/>
    <n v="0"/>
    <n v="0"/>
    <n v="0"/>
    <n v="49.2"/>
  </r>
  <r>
    <x v="1384"/>
    <d v="2025-01-21T00:00:00"/>
    <x v="1"/>
    <s v="West"/>
    <x v="1"/>
    <x v="1"/>
    <x v="1"/>
    <n v="1"/>
    <n v="0"/>
    <n v="0"/>
    <x v="0"/>
    <n v="0"/>
    <n v="2"/>
    <n v="0"/>
    <n v="0"/>
    <n v="58.8"/>
  </r>
  <r>
    <x v="1385"/>
    <d v="2025-01-21T00:00:00"/>
    <x v="1"/>
    <s v="North"/>
    <x v="2"/>
    <x v="2"/>
    <x v="0"/>
    <n v="0"/>
    <n v="0"/>
    <n v="0"/>
    <x v="0"/>
    <n v="0"/>
    <n v="1"/>
    <n v="0"/>
    <n v="0"/>
    <n v="59.1"/>
  </r>
  <r>
    <x v="1386"/>
    <d v="2025-05-21T00:00:00"/>
    <x v="1"/>
    <s v="West"/>
    <x v="0"/>
    <x v="2"/>
    <x v="1"/>
    <n v="1"/>
    <n v="0"/>
    <n v="0"/>
    <x v="0"/>
    <n v="0"/>
    <n v="2"/>
    <n v="0"/>
    <n v="0"/>
    <n v="49.6"/>
  </r>
  <r>
    <x v="1387"/>
    <d v="2025-01-05T00:00:00"/>
    <x v="1"/>
    <s v="North"/>
    <x v="1"/>
    <x v="3"/>
    <x v="1"/>
    <n v="0"/>
    <n v="0"/>
    <n v="0"/>
    <x v="0"/>
    <n v="0"/>
    <n v="0"/>
    <n v="0"/>
    <n v="0"/>
    <n v="58.2"/>
  </r>
  <r>
    <x v="1388"/>
    <d v="2025-03-06T00:00:00"/>
    <x v="1"/>
    <s v="South"/>
    <x v="0"/>
    <x v="1"/>
    <x v="1"/>
    <n v="1"/>
    <n v="0"/>
    <n v="0"/>
    <x v="0"/>
    <n v="0"/>
    <n v="0"/>
    <n v="0"/>
    <n v="0"/>
    <n v="66.8"/>
  </r>
  <r>
    <x v="1389"/>
    <d v="2025-04-18T00:00:00"/>
    <x v="1"/>
    <s v="North"/>
    <x v="1"/>
    <x v="2"/>
    <x v="1"/>
    <n v="1"/>
    <n v="0"/>
    <n v="0"/>
    <x v="0"/>
    <n v="0"/>
    <n v="3"/>
    <n v="0"/>
    <n v="0"/>
    <n v="58.3"/>
  </r>
  <r>
    <x v="1390"/>
    <d v="2025-04-15T00:00:00"/>
    <x v="1"/>
    <s v="West"/>
    <x v="1"/>
    <x v="1"/>
    <x v="0"/>
    <n v="1"/>
    <n v="1"/>
    <n v="1"/>
    <x v="0"/>
    <n v="0"/>
    <n v="0"/>
    <n v="0"/>
    <n v="0"/>
    <n v="38.5"/>
  </r>
  <r>
    <x v="1391"/>
    <d v="2025-02-10T00:00:00"/>
    <x v="1"/>
    <s v="East"/>
    <x v="1"/>
    <x v="2"/>
    <x v="1"/>
    <n v="1"/>
    <n v="0"/>
    <n v="0"/>
    <x v="0"/>
    <n v="0"/>
    <n v="0"/>
    <n v="0"/>
    <n v="0"/>
    <n v="76.900000000000006"/>
  </r>
  <r>
    <x v="1392"/>
    <d v="2025-05-08T00:00:00"/>
    <x v="1"/>
    <s v="East"/>
    <x v="1"/>
    <x v="1"/>
    <x v="1"/>
    <n v="1"/>
    <n v="0"/>
    <n v="0"/>
    <x v="0"/>
    <n v="0"/>
    <n v="0"/>
    <n v="0"/>
    <n v="0"/>
    <n v="54"/>
  </r>
  <r>
    <x v="1393"/>
    <d v="2025-05-28T00:00:00"/>
    <x v="1"/>
    <s v="East"/>
    <x v="2"/>
    <x v="1"/>
    <x v="1"/>
    <n v="1"/>
    <n v="0"/>
    <n v="0"/>
    <x v="0"/>
    <n v="0"/>
    <n v="0"/>
    <n v="0"/>
    <n v="0"/>
    <n v="70.599999999999994"/>
  </r>
  <r>
    <x v="1394"/>
    <d v="2025-04-25T00:00:00"/>
    <x v="1"/>
    <s v="North"/>
    <x v="2"/>
    <x v="3"/>
    <x v="2"/>
    <n v="1"/>
    <n v="1"/>
    <n v="1"/>
    <x v="0"/>
    <n v="0"/>
    <n v="1"/>
    <n v="0"/>
    <n v="0"/>
    <n v="69.400000000000006"/>
  </r>
  <r>
    <x v="1395"/>
    <d v="2025-02-11T00:00:00"/>
    <x v="1"/>
    <s v="South"/>
    <x v="1"/>
    <x v="5"/>
    <x v="2"/>
    <n v="1"/>
    <n v="1"/>
    <n v="1"/>
    <x v="1"/>
    <n v="1009.9"/>
    <n v="0"/>
    <n v="0"/>
    <n v="6"/>
    <n v="89.7"/>
  </r>
  <r>
    <x v="1396"/>
    <d v="2025-04-14T00:00:00"/>
    <x v="1"/>
    <s v="West"/>
    <x v="1"/>
    <x v="1"/>
    <x v="1"/>
    <n v="1"/>
    <n v="0"/>
    <n v="0"/>
    <x v="0"/>
    <n v="0"/>
    <n v="0"/>
    <n v="0"/>
    <n v="0"/>
    <n v="62.4"/>
  </r>
  <r>
    <x v="1397"/>
    <d v="2025-02-04T00:00:00"/>
    <x v="1"/>
    <s v="West"/>
    <x v="2"/>
    <x v="1"/>
    <x v="2"/>
    <n v="0"/>
    <n v="0"/>
    <n v="0"/>
    <x v="0"/>
    <n v="0"/>
    <n v="0"/>
    <n v="0"/>
    <n v="0"/>
    <n v="67.3"/>
  </r>
  <r>
    <x v="1398"/>
    <d v="2025-03-22T00:00:00"/>
    <x v="1"/>
    <s v="East"/>
    <x v="1"/>
    <x v="3"/>
    <x v="1"/>
    <n v="1"/>
    <n v="0"/>
    <n v="0"/>
    <x v="0"/>
    <n v="0"/>
    <n v="0"/>
    <n v="0"/>
    <n v="0"/>
    <n v="54.9"/>
  </r>
  <r>
    <x v="1399"/>
    <d v="2025-04-18T00:00:00"/>
    <x v="1"/>
    <s v="East"/>
    <x v="0"/>
    <x v="4"/>
    <x v="1"/>
    <n v="0"/>
    <n v="0"/>
    <n v="0"/>
    <x v="0"/>
    <n v="0"/>
    <n v="0"/>
    <n v="0"/>
    <n v="0"/>
    <n v="55.7"/>
  </r>
  <r>
    <x v="1400"/>
    <d v="2025-02-23T00:00:00"/>
    <x v="1"/>
    <s v="West"/>
    <x v="0"/>
    <x v="4"/>
    <x v="0"/>
    <n v="1"/>
    <n v="1"/>
    <n v="1"/>
    <x v="0"/>
    <n v="0"/>
    <n v="0"/>
    <n v="0"/>
    <n v="0"/>
    <n v="70.599999999999994"/>
  </r>
  <r>
    <x v="1400"/>
    <d v="2025-02-03T00:00:00"/>
    <x v="0"/>
    <s v="North"/>
    <x v="2"/>
    <x v="0"/>
    <x v="0"/>
    <n v="1"/>
    <n v="0"/>
    <n v="0"/>
    <x v="0"/>
    <n v="0"/>
    <n v="0"/>
    <n v="0"/>
    <n v="0"/>
    <n v="60.9"/>
  </r>
  <r>
    <x v="1400"/>
    <d v="2025-05-23T00:00:00"/>
    <x v="1"/>
    <s v="East"/>
    <x v="1"/>
    <x v="1"/>
    <x v="0"/>
    <n v="1"/>
    <n v="0"/>
    <n v="0"/>
    <x v="0"/>
    <n v="0"/>
    <n v="0"/>
    <n v="0"/>
    <n v="0"/>
    <n v="33.6"/>
  </r>
  <r>
    <x v="1400"/>
    <d v="2025-02-05T00:00:00"/>
    <x v="0"/>
    <s v="East"/>
    <x v="1"/>
    <x v="4"/>
    <x v="1"/>
    <n v="0"/>
    <n v="0"/>
    <n v="0"/>
    <x v="0"/>
    <n v="0"/>
    <n v="0"/>
    <n v="0"/>
    <n v="0"/>
    <n v="68"/>
  </r>
  <r>
    <x v="1400"/>
    <d v="2025-02-24T00:00:00"/>
    <x v="1"/>
    <s v="West"/>
    <x v="1"/>
    <x v="1"/>
    <x v="0"/>
    <n v="1"/>
    <n v="0"/>
    <n v="0"/>
    <x v="0"/>
    <n v="0"/>
    <n v="0"/>
    <n v="0"/>
    <n v="0"/>
    <n v="62"/>
  </r>
  <r>
    <x v="1400"/>
    <d v="2025-03-30T00:00:00"/>
    <x v="1"/>
    <s v="East"/>
    <x v="1"/>
    <x v="1"/>
    <x v="1"/>
    <n v="1"/>
    <n v="1"/>
    <n v="1"/>
    <x v="0"/>
    <n v="0"/>
    <n v="1"/>
    <n v="0"/>
    <n v="0"/>
    <n v="72.5"/>
  </r>
  <r>
    <x v="1400"/>
    <d v="2025-05-16T00:00:00"/>
    <x v="1"/>
    <s v="South"/>
    <x v="1"/>
    <x v="1"/>
    <x v="1"/>
    <n v="1"/>
    <n v="0"/>
    <n v="0"/>
    <x v="0"/>
    <n v="0"/>
    <n v="0"/>
    <n v="0"/>
    <n v="0"/>
    <n v="70.3"/>
  </r>
  <r>
    <x v="1400"/>
    <d v="2025-05-22T00:00:00"/>
    <x v="0"/>
    <s v="North"/>
    <x v="1"/>
    <x v="2"/>
    <x v="0"/>
    <n v="1"/>
    <n v="1"/>
    <n v="0"/>
    <x v="0"/>
    <n v="0"/>
    <n v="0"/>
    <n v="0"/>
    <n v="0"/>
    <n v="39.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9">
  <r>
    <x v="0"/>
    <d v="2025-03-16T00:00:00"/>
    <x v="0"/>
    <s v="North"/>
    <s v="Desktop"/>
    <s v="Email"/>
    <s v="Basic"/>
    <n v="0"/>
    <n v="0"/>
    <n v="0"/>
    <n v="0"/>
    <n v="0"/>
    <n v="0"/>
    <n v="0"/>
    <n v="0"/>
    <n v="45.7"/>
  </r>
  <r>
    <x v="1"/>
    <d v="2025-03-08T00:00:00"/>
    <x v="0"/>
    <s v="West"/>
    <s v="Mobile"/>
    <s v="Organic"/>
    <s v="Free"/>
    <n v="1"/>
    <n v="0"/>
    <n v="0"/>
    <n v="0"/>
    <n v="0"/>
    <n v="0"/>
    <n v="0"/>
    <n v="0"/>
    <n v="48.6"/>
  </r>
  <r>
    <x v="2"/>
    <d v="2025-04-24T00:00:00"/>
    <x v="0"/>
    <s v="East"/>
    <s v="Mobile"/>
    <s v="Paid Search"/>
    <s v="Premium"/>
    <n v="1"/>
    <n v="0"/>
    <n v="0"/>
    <n v="0"/>
    <n v="0"/>
    <n v="1"/>
    <n v="0"/>
    <n v="0"/>
    <n v="35.4"/>
  </r>
  <r>
    <x v="3"/>
    <d v="2025-05-04T00:00:00"/>
    <x v="0"/>
    <s v="South"/>
    <s v="Mobile"/>
    <s v="Email"/>
    <s v="Basic"/>
    <n v="1"/>
    <n v="0"/>
    <n v="0"/>
    <n v="0"/>
    <n v="0"/>
    <n v="0"/>
    <n v="0"/>
    <n v="0"/>
    <n v="64.599999999999994"/>
  </r>
  <r>
    <x v="4"/>
    <d v="2025-02-12T00:00:00"/>
    <x v="0"/>
    <s v="North"/>
    <s v="Tablet"/>
    <s v="Organic"/>
    <s v="Free"/>
    <n v="0"/>
    <n v="0"/>
    <n v="0"/>
    <n v="0"/>
    <n v="0"/>
    <n v="0"/>
    <n v="0"/>
    <n v="0"/>
    <n v="66.599999999999994"/>
  </r>
  <r>
    <x v="5"/>
    <d v="2025-01-28T00:00:00"/>
    <x v="0"/>
    <s v="East"/>
    <s v="Mobile"/>
    <s v="Organic"/>
    <s v="Premium"/>
    <n v="1"/>
    <n v="0"/>
    <n v="0"/>
    <n v="0"/>
    <n v="0"/>
    <n v="0"/>
    <n v="0"/>
    <n v="0"/>
    <n v="40.799999999999997"/>
  </r>
  <r>
    <x v="6"/>
    <d v="2025-04-08T00:00:00"/>
    <x v="0"/>
    <s v="East"/>
    <s v="Mobile"/>
    <s v="Paid Search"/>
    <s v="Basic"/>
    <n v="1"/>
    <n v="1"/>
    <n v="0"/>
    <n v="0"/>
    <n v="0"/>
    <n v="0"/>
    <n v="0"/>
    <n v="0"/>
    <n v="57.1"/>
  </r>
  <r>
    <x v="7"/>
    <d v="2025-05-17T00:00:00"/>
    <x v="0"/>
    <s v="South"/>
    <s v="Mobile"/>
    <s v="Paid Search"/>
    <s v="Free"/>
    <n v="0"/>
    <n v="0"/>
    <n v="0"/>
    <n v="0"/>
    <n v="0"/>
    <n v="0"/>
    <n v="0"/>
    <n v="0"/>
    <n v="36.4"/>
  </r>
  <r>
    <x v="8"/>
    <d v="2025-02-23T00:00:00"/>
    <x v="0"/>
    <s v="South"/>
    <s v="Tablet"/>
    <s v="Referral"/>
    <s v="Basic"/>
    <n v="0"/>
    <n v="0"/>
    <n v="0"/>
    <n v="0"/>
    <n v="0"/>
    <n v="0"/>
    <n v="0"/>
    <n v="0"/>
    <n v="55.4"/>
  </r>
  <r>
    <x v="9"/>
    <d v="2025-05-29T00:00:00"/>
    <x v="0"/>
    <s v="West"/>
    <s v="Desktop"/>
    <s v="Social"/>
    <s v="Free"/>
    <n v="1"/>
    <n v="0"/>
    <n v="0"/>
    <n v="0"/>
    <n v="0"/>
    <n v="0"/>
    <n v="0"/>
    <n v="0"/>
    <n v="57.3"/>
  </r>
  <r>
    <x v="10"/>
    <d v="2025-04-30T00:00:00"/>
    <x v="0"/>
    <s v="East"/>
    <s v="Mobile"/>
    <s v="Paid Search"/>
    <s v="Basic"/>
    <n v="1"/>
    <n v="1"/>
    <n v="1"/>
    <n v="0"/>
    <n v="0"/>
    <n v="0"/>
    <n v="0"/>
    <n v="0"/>
    <n v="63.6"/>
  </r>
  <r>
    <x v="11"/>
    <d v="2025-03-16T00:00:00"/>
    <x v="0"/>
    <s v="East"/>
    <s v="Mobile"/>
    <s v="Social"/>
    <s v="Premium"/>
    <n v="1"/>
    <n v="1"/>
    <n v="1"/>
    <n v="0"/>
    <n v="0"/>
    <n v="1"/>
    <n v="0"/>
    <n v="0"/>
    <n v="80.400000000000006"/>
  </r>
  <r>
    <x v="12"/>
    <d v="2025-02-07T00:00:00"/>
    <x v="0"/>
    <s v="South"/>
    <s v="Desktop"/>
    <s v="Email"/>
    <s v="Basic"/>
    <n v="1"/>
    <n v="0"/>
    <n v="0"/>
    <n v="0"/>
    <n v="0"/>
    <n v="0"/>
    <n v="0"/>
    <n v="0"/>
    <n v="62.4"/>
  </r>
  <r>
    <x v="13"/>
    <d v="2025-03-02T00:00:00"/>
    <x v="0"/>
    <s v="West"/>
    <s v="Mobile"/>
    <s v="Social"/>
    <s v="Basic"/>
    <n v="1"/>
    <n v="0"/>
    <n v="0"/>
    <n v="0"/>
    <n v="0"/>
    <n v="0"/>
    <n v="0"/>
    <n v="0"/>
    <n v="82.4"/>
  </r>
  <r>
    <x v="14"/>
    <d v="2025-05-30T00:00:00"/>
    <x v="0"/>
    <s v="South"/>
    <s v="Mobile"/>
    <s v="Organic"/>
    <s v="Basic"/>
    <n v="0"/>
    <n v="0"/>
    <n v="0"/>
    <n v="0"/>
    <n v="0"/>
    <n v="0"/>
    <n v="0"/>
    <n v="0"/>
    <n v="61.2"/>
  </r>
  <r>
    <x v="15"/>
    <d v="2025-03-25T00:00:00"/>
    <x v="0"/>
    <s v="South"/>
    <s v="Mobile"/>
    <s v="Social"/>
    <s v="Basic"/>
    <n v="1"/>
    <n v="0"/>
    <n v="0"/>
    <n v="0"/>
    <n v="0"/>
    <n v="0"/>
    <n v="0"/>
    <n v="0"/>
    <n v="68.900000000000006"/>
  </r>
  <r>
    <x v="16"/>
    <d v="2025-03-27T00:00:00"/>
    <x v="0"/>
    <s v="East"/>
    <s v="Desktop"/>
    <s v="Paid Search"/>
    <s v="Free"/>
    <n v="1"/>
    <n v="1"/>
    <n v="1"/>
    <n v="0"/>
    <n v="0"/>
    <n v="0"/>
    <n v="0"/>
    <n v="0"/>
    <n v="71.900000000000006"/>
  </r>
  <r>
    <x v="17"/>
    <d v="2025-05-28T00:00:00"/>
    <x v="0"/>
    <s v="South"/>
    <s v="Desktop"/>
    <s v="Paid Search"/>
    <s v="Free"/>
    <n v="0"/>
    <n v="0"/>
    <n v="0"/>
    <n v="0"/>
    <n v="0"/>
    <n v="0"/>
    <n v="0"/>
    <n v="0"/>
    <n v="50.5"/>
  </r>
  <r>
    <x v="18"/>
    <d v="2025-02-15T00:00:00"/>
    <x v="0"/>
    <s v="North"/>
    <s v="Desktop"/>
    <s v="Paid Search"/>
    <s v="Basic"/>
    <n v="0"/>
    <n v="0"/>
    <n v="0"/>
    <n v="0"/>
    <n v="0"/>
    <n v="0"/>
    <n v="0"/>
    <n v="0"/>
    <n v="49.3"/>
  </r>
  <r>
    <x v="19"/>
    <d v="2025-05-05T00:00:00"/>
    <x v="0"/>
    <s v="West"/>
    <s v="Desktop"/>
    <s v="Organic"/>
    <s v="Basic"/>
    <n v="0"/>
    <n v="0"/>
    <n v="0"/>
    <n v="0"/>
    <n v="0"/>
    <n v="2"/>
    <n v="0"/>
    <n v="0"/>
    <n v="60.9"/>
  </r>
  <r>
    <x v="20"/>
    <d v="2025-04-13T00:00:00"/>
    <x v="0"/>
    <s v="East"/>
    <s v="Mobile"/>
    <s v="Social"/>
    <s v="Free"/>
    <n v="1"/>
    <n v="0"/>
    <n v="0"/>
    <n v="0"/>
    <n v="0"/>
    <n v="0"/>
    <n v="0"/>
    <n v="0"/>
    <n v="62.7"/>
  </r>
  <r>
    <x v="21"/>
    <d v="2025-05-07T00:00:00"/>
    <x v="0"/>
    <s v="North"/>
    <s v="Desktop"/>
    <s v="Paid Search"/>
    <s v="Free"/>
    <n v="0"/>
    <n v="0"/>
    <n v="0"/>
    <n v="0"/>
    <n v="0"/>
    <n v="0"/>
    <n v="0"/>
    <n v="0"/>
    <n v="52.7"/>
  </r>
  <r>
    <x v="22"/>
    <d v="2025-05-25T00:00:00"/>
    <x v="0"/>
    <s v="North"/>
    <s v="Desktop"/>
    <s v="Organic"/>
    <s v="Free"/>
    <n v="0"/>
    <n v="0"/>
    <n v="0"/>
    <n v="0"/>
    <n v="0"/>
    <n v="0"/>
    <n v="0"/>
    <n v="0"/>
    <n v="54"/>
  </r>
  <r>
    <x v="23"/>
    <d v="2025-04-01T00:00:00"/>
    <x v="0"/>
    <s v="East"/>
    <s v="Mobile"/>
    <s v="Paid Search"/>
    <s v="Premium"/>
    <n v="1"/>
    <n v="1"/>
    <n v="0"/>
    <n v="0"/>
    <n v="0"/>
    <n v="0"/>
    <n v="0"/>
    <n v="0"/>
    <n v="51.6"/>
  </r>
  <r>
    <x v="24"/>
    <d v="2025-02-22T00:00:00"/>
    <x v="0"/>
    <s v="North"/>
    <s v="Mobile"/>
    <s v="Paid Search"/>
    <s v="Premium"/>
    <n v="0"/>
    <n v="0"/>
    <n v="0"/>
    <n v="0"/>
    <n v="0"/>
    <n v="2"/>
    <n v="0"/>
    <n v="0"/>
    <n v="66.900000000000006"/>
  </r>
  <r>
    <x v="25"/>
    <d v="2025-03-24T00:00:00"/>
    <x v="0"/>
    <s v="East"/>
    <s v="Mobile"/>
    <s v="Organic"/>
    <s v="Basic"/>
    <n v="0"/>
    <n v="0"/>
    <n v="0"/>
    <n v="0"/>
    <n v="0"/>
    <n v="0"/>
    <n v="0"/>
    <n v="0"/>
    <n v="67.400000000000006"/>
  </r>
  <r>
    <x v="26"/>
    <d v="2025-02-13T00:00:00"/>
    <x v="0"/>
    <s v="North"/>
    <s v="Mobile"/>
    <s v="Organic"/>
    <s v="Free"/>
    <n v="0"/>
    <n v="0"/>
    <n v="0"/>
    <n v="0"/>
    <n v="0"/>
    <n v="0"/>
    <n v="0"/>
    <n v="0"/>
    <n v="58.8"/>
  </r>
  <r>
    <x v="27"/>
    <d v="2025-05-30T00:00:00"/>
    <x v="0"/>
    <s v="South"/>
    <s v="Mobile"/>
    <s v="Organic"/>
    <s v="Free"/>
    <n v="1"/>
    <n v="0"/>
    <n v="0"/>
    <n v="0"/>
    <n v="0"/>
    <n v="0"/>
    <n v="0"/>
    <n v="0"/>
    <n v="73.8"/>
  </r>
  <r>
    <x v="28"/>
    <d v="2025-01-20T00:00:00"/>
    <x v="0"/>
    <s v="East"/>
    <s v="Tablet"/>
    <s v="Organic"/>
    <s v="Basic"/>
    <n v="0"/>
    <n v="0"/>
    <n v="0"/>
    <n v="0"/>
    <n v="0"/>
    <n v="0"/>
    <n v="0"/>
    <n v="0"/>
    <n v="60.1"/>
  </r>
  <r>
    <x v="29"/>
    <d v="2025-05-19T00:00:00"/>
    <x v="0"/>
    <s v="East"/>
    <s v="Mobile"/>
    <s v="Social"/>
    <s v="Basic"/>
    <n v="1"/>
    <n v="1"/>
    <n v="1"/>
    <n v="0"/>
    <n v="0"/>
    <n v="0"/>
    <n v="0"/>
    <n v="0"/>
    <n v="41"/>
  </r>
  <r>
    <x v="30"/>
    <d v="2025-02-18T00:00:00"/>
    <x v="0"/>
    <s v="South"/>
    <s v="Mobile"/>
    <s v="Organic"/>
    <s v="Basic"/>
    <n v="1"/>
    <n v="0"/>
    <n v="0"/>
    <n v="0"/>
    <n v="0"/>
    <n v="0"/>
    <n v="0"/>
    <n v="0"/>
    <n v="80.3"/>
  </r>
  <r>
    <x v="31"/>
    <d v="2025-02-13T00:00:00"/>
    <x v="0"/>
    <s v="East"/>
    <s v="Mobile"/>
    <s v="Organic"/>
    <s v="Free"/>
    <n v="0"/>
    <n v="0"/>
    <n v="0"/>
    <n v="0"/>
    <n v="0"/>
    <n v="0"/>
    <n v="0"/>
    <n v="0"/>
    <n v="67.599999999999994"/>
  </r>
  <r>
    <x v="32"/>
    <d v="2025-03-08T00:00:00"/>
    <x v="0"/>
    <s v="East"/>
    <s v="Desktop"/>
    <s v="Referral"/>
    <s v="Premium"/>
    <n v="0"/>
    <n v="0"/>
    <n v="0"/>
    <n v="0"/>
    <n v="0"/>
    <n v="0"/>
    <n v="0"/>
    <n v="0"/>
    <n v="64"/>
  </r>
  <r>
    <x v="33"/>
    <d v="2025-01-11T00:00:00"/>
    <x v="0"/>
    <s v="North"/>
    <s v="Mobile"/>
    <s v="Paid Search"/>
    <s v="Free"/>
    <n v="1"/>
    <n v="1"/>
    <n v="0"/>
    <n v="0"/>
    <n v="0"/>
    <n v="0"/>
    <n v="0"/>
    <n v="0"/>
    <n v="27.2"/>
  </r>
  <r>
    <x v="34"/>
    <d v="2025-02-12T00:00:00"/>
    <x v="0"/>
    <s v="North"/>
    <s v="Desktop"/>
    <s v="Organic"/>
    <s v="Free"/>
    <n v="1"/>
    <n v="0"/>
    <n v="0"/>
    <n v="0"/>
    <n v="0"/>
    <n v="0"/>
    <n v="0"/>
    <n v="0"/>
    <n v="85.4"/>
  </r>
  <r>
    <x v="35"/>
    <d v="2025-04-13T00:00:00"/>
    <x v="0"/>
    <s v="East"/>
    <s v="Desktop"/>
    <s v="Organic"/>
    <s v="Basic"/>
    <n v="1"/>
    <n v="0"/>
    <n v="0"/>
    <n v="0"/>
    <n v="0"/>
    <n v="0"/>
    <n v="0"/>
    <n v="0"/>
    <n v="75.900000000000006"/>
  </r>
  <r>
    <x v="36"/>
    <d v="2025-05-09T00:00:00"/>
    <x v="0"/>
    <s v="East"/>
    <s v="Mobile"/>
    <s v="Organic"/>
    <s v="Premium"/>
    <n v="1"/>
    <n v="0"/>
    <n v="0"/>
    <n v="0"/>
    <n v="0"/>
    <n v="1"/>
    <n v="0"/>
    <n v="0"/>
    <n v="34.799999999999997"/>
  </r>
  <r>
    <x v="37"/>
    <d v="2025-01-20T00:00:00"/>
    <x v="0"/>
    <s v="East"/>
    <s v="Mobile"/>
    <s v="Organic"/>
    <s v="Free"/>
    <n v="1"/>
    <n v="1"/>
    <n v="1"/>
    <n v="0"/>
    <n v="0"/>
    <n v="3"/>
    <n v="0"/>
    <n v="0"/>
    <n v="48.9"/>
  </r>
  <r>
    <x v="38"/>
    <d v="2025-05-13T00:00:00"/>
    <x v="0"/>
    <s v="East"/>
    <s v="Mobile"/>
    <s v="Email"/>
    <s v="Premium"/>
    <n v="1"/>
    <n v="0"/>
    <n v="0"/>
    <n v="0"/>
    <n v="0"/>
    <n v="0"/>
    <n v="0"/>
    <n v="0"/>
    <n v="41.5"/>
  </r>
  <r>
    <x v="39"/>
    <d v="2025-04-07T00:00:00"/>
    <x v="0"/>
    <s v="North"/>
    <s v="Desktop"/>
    <s v="Organic"/>
    <s v="Basic"/>
    <n v="1"/>
    <n v="0"/>
    <n v="0"/>
    <n v="0"/>
    <n v="0"/>
    <n v="0"/>
    <n v="0"/>
    <n v="0"/>
    <n v="51.5"/>
  </r>
  <r>
    <x v="40"/>
    <d v="2025-03-31T00:00:00"/>
    <x v="0"/>
    <s v="North"/>
    <s v="Desktop"/>
    <s v="Organic"/>
    <s v="Free"/>
    <n v="0"/>
    <n v="0"/>
    <n v="0"/>
    <n v="0"/>
    <n v="0"/>
    <n v="0"/>
    <n v="0"/>
    <n v="0"/>
    <n v="53.2"/>
  </r>
  <r>
    <x v="41"/>
    <d v="2025-01-25T00:00:00"/>
    <x v="0"/>
    <s v="East"/>
    <s v="Mobile"/>
    <s v="Email"/>
    <s v="Premium"/>
    <n v="0"/>
    <n v="0"/>
    <n v="0"/>
    <n v="0"/>
    <n v="0"/>
    <n v="0"/>
    <n v="0"/>
    <n v="0"/>
    <n v="55.6"/>
  </r>
  <r>
    <x v="42"/>
    <d v="2025-02-14T00:00:00"/>
    <x v="0"/>
    <s v="South"/>
    <s v="Desktop"/>
    <s v="Organic"/>
    <s v="Free"/>
    <n v="0"/>
    <n v="0"/>
    <n v="0"/>
    <n v="0"/>
    <n v="0"/>
    <n v="0"/>
    <n v="0"/>
    <n v="0"/>
    <n v="73"/>
  </r>
  <r>
    <x v="43"/>
    <d v="2025-02-27T00:00:00"/>
    <x v="0"/>
    <s v="East"/>
    <s v="Mobile"/>
    <s v="Email"/>
    <s v="Free"/>
    <n v="1"/>
    <n v="0"/>
    <n v="0"/>
    <n v="0"/>
    <n v="0"/>
    <n v="0"/>
    <n v="0"/>
    <n v="0"/>
    <n v="65"/>
  </r>
  <r>
    <x v="44"/>
    <d v="2025-03-28T00:00:00"/>
    <x v="0"/>
    <s v="East"/>
    <s v="Mobile"/>
    <s v="Social"/>
    <s v="Free"/>
    <n v="1"/>
    <n v="0"/>
    <n v="0"/>
    <n v="0"/>
    <n v="0"/>
    <n v="4"/>
    <n v="0"/>
    <n v="0"/>
    <n v="56.3"/>
  </r>
  <r>
    <x v="45"/>
    <d v="2025-05-25T00:00:00"/>
    <x v="0"/>
    <s v="East"/>
    <s v="Mobile"/>
    <s v="Referral"/>
    <s v="Premium"/>
    <n v="1"/>
    <n v="0"/>
    <n v="0"/>
    <n v="0"/>
    <n v="0"/>
    <n v="0"/>
    <n v="0"/>
    <n v="0"/>
    <n v="62.4"/>
  </r>
  <r>
    <x v="46"/>
    <d v="2025-05-05T00:00:00"/>
    <x v="0"/>
    <s v="West"/>
    <s v="Desktop"/>
    <s v="Organic"/>
    <s v="Free"/>
    <n v="1"/>
    <n v="1"/>
    <n v="1"/>
    <n v="0"/>
    <n v="0"/>
    <n v="0"/>
    <n v="0"/>
    <n v="0"/>
    <n v="58.1"/>
  </r>
  <r>
    <x v="47"/>
    <d v="2025-05-16T00:00:00"/>
    <x v="0"/>
    <s v="North"/>
    <s v="Mobile"/>
    <s v="Organic"/>
    <s v="Free"/>
    <n v="1"/>
    <n v="1"/>
    <n v="1"/>
    <n v="0"/>
    <n v="0"/>
    <n v="0"/>
    <n v="0"/>
    <n v="0"/>
    <n v="80.8"/>
  </r>
  <r>
    <x v="48"/>
    <d v="2025-01-08T00:00:00"/>
    <x v="0"/>
    <s v="North"/>
    <s v="Mobile"/>
    <s v="Social"/>
    <s v="Free"/>
    <n v="1"/>
    <n v="1"/>
    <n v="0"/>
    <n v="0"/>
    <n v="0"/>
    <n v="0"/>
    <n v="0"/>
    <n v="0"/>
    <n v="42.9"/>
  </r>
  <r>
    <x v="49"/>
    <d v="2025-01-06T00:00:00"/>
    <x v="0"/>
    <s v="West"/>
    <s v="Desktop"/>
    <s v="Paid Search"/>
    <s v="Free"/>
    <n v="1"/>
    <n v="0"/>
    <n v="0"/>
    <n v="0"/>
    <n v="0"/>
    <n v="0"/>
    <n v="0"/>
    <n v="0"/>
    <n v="52.7"/>
  </r>
  <r>
    <x v="50"/>
    <d v="2025-01-12T00:00:00"/>
    <x v="0"/>
    <s v="North"/>
    <s v="Mobile"/>
    <s v="Social"/>
    <s v="Basic"/>
    <n v="0"/>
    <n v="0"/>
    <n v="0"/>
    <n v="0"/>
    <n v="0"/>
    <n v="0"/>
    <n v="0"/>
    <n v="0"/>
    <n v="46.9"/>
  </r>
  <r>
    <x v="51"/>
    <d v="2025-02-14T00:00:00"/>
    <x v="0"/>
    <s v="East"/>
    <s v="Desktop"/>
    <s v="Email"/>
    <s v="Premium"/>
    <n v="1"/>
    <n v="0"/>
    <n v="0"/>
    <n v="0"/>
    <n v="0"/>
    <n v="0"/>
    <n v="0"/>
    <n v="0"/>
    <n v="63"/>
  </r>
  <r>
    <x v="52"/>
    <d v="2025-03-10T00:00:00"/>
    <x v="0"/>
    <s v="South"/>
    <s v="Tablet"/>
    <s v="Organic"/>
    <s v="Free"/>
    <n v="0"/>
    <n v="0"/>
    <n v="0"/>
    <n v="0"/>
    <n v="0"/>
    <n v="0"/>
    <n v="0"/>
    <n v="0"/>
    <n v="53.6"/>
  </r>
  <r>
    <x v="53"/>
    <d v="2025-04-20T00:00:00"/>
    <x v="0"/>
    <s v="West"/>
    <s v="Desktop"/>
    <s v="Organic"/>
    <s v="Basic"/>
    <n v="0"/>
    <n v="0"/>
    <n v="0"/>
    <n v="0"/>
    <n v="0"/>
    <n v="0"/>
    <n v="0"/>
    <n v="0"/>
    <n v="49.6"/>
  </r>
  <r>
    <x v="54"/>
    <d v="2025-02-19T00:00:00"/>
    <x v="0"/>
    <s v="South"/>
    <s v="Mobile"/>
    <s v="Organic"/>
    <s v="Free"/>
    <n v="0"/>
    <n v="0"/>
    <n v="0"/>
    <n v="0"/>
    <n v="0"/>
    <n v="0"/>
    <n v="0"/>
    <n v="0"/>
    <n v="54"/>
  </r>
  <r>
    <x v="55"/>
    <d v="2025-05-17T00:00:00"/>
    <x v="0"/>
    <s v="South"/>
    <s v="Mobile"/>
    <s v="Social"/>
    <s v="Basic"/>
    <n v="1"/>
    <n v="0"/>
    <n v="0"/>
    <n v="0"/>
    <n v="0"/>
    <n v="2"/>
    <n v="0"/>
    <n v="0"/>
    <n v="50"/>
  </r>
  <r>
    <x v="56"/>
    <d v="2025-04-01T00:00:00"/>
    <x v="0"/>
    <s v="East"/>
    <s v="Mobile"/>
    <s v="Social"/>
    <s v="Basic"/>
    <n v="0"/>
    <n v="0"/>
    <n v="0"/>
    <n v="0"/>
    <n v="0"/>
    <n v="0"/>
    <n v="0"/>
    <n v="0"/>
    <n v="48.1"/>
  </r>
  <r>
    <x v="57"/>
    <d v="2025-02-04T00:00:00"/>
    <x v="0"/>
    <s v="North"/>
    <s v="Desktop"/>
    <s v="Organic"/>
    <s v="Free"/>
    <n v="1"/>
    <n v="0"/>
    <n v="0"/>
    <n v="0"/>
    <n v="0"/>
    <n v="0"/>
    <n v="0"/>
    <n v="0"/>
    <n v="49.6"/>
  </r>
  <r>
    <x v="58"/>
    <d v="2025-04-14T00:00:00"/>
    <x v="0"/>
    <s v="North"/>
    <s v="Mobile"/>
    <s v="Social"/>
    <s v="Free"/>
    <n v="0"/>
    <n v="0"/>
    <n v="0"/>
    <n v="0"/>
    <n v="0"/>
    <n v="2"/>
    <n v="0"/>
    <n v="0"/>
    <n v="48.9"/>
  </r>
  <r>
    <x v="59"/>
    <d v="2025-01-01T00:00:00"/>
    <x v="0"/>
    <s v="West"/>
    <s v="Mobile"/>
    <s v="Social"/>
    <s v="Free"/>
    <n v="1"/>
    <n v="1"/>
    <n v="1"/>
    <n v="1"/>
    <n v="240.42"/>
    <n v="0"/>
    <n v="0"/>
    <n v="16"/>
    <n v="56.5"/>
  </r>
  <r>
    <x v="60"/>
    <d v="2025-04-02T00:00:00"/>
    <x v="0"/>
    <s v="South"/>
    <s v="Mobile"/>
    <s v="Referral"/>
    <s v="Free"/>
    <n v="1"/>
    <n v="0"/>
    <n v="0"/>
    <n v="0"/>
    <n v="0"/>
    <n v="0"/>
    <n v="0"/>
    <n v="0"/>
    <n v="53.7"/>
  </r>
  <r>
    <x v="61"/>
    <d v="2025-03-29T00:00:00"/>
    <x v="0"/>
    <s v="North"/>
    <s v="Mobile"/>
    <s v="Social"/>
    <s v="Premium"/>
    <n v="0"/>
    <n v="0"/>
    <n v="0"/>
    <n v="0"/>
    <n v="0"/>
    <n v="0"/>
    <n v="0"/>
    <n v="0"/>
    <n v="62.2"/>
  </r>
  <r>
    <x v="62"/>
    <d v="2025-05-15T00:00:00"/>
    <x v="0"/>
    <s v="South"/>
    <s v="Desktop"/>
    <s v="Organic"/>
    <s v="Free"/>
    <n v="1"/>
    <n v="0"/>
    <n v="0"/>
    <n v="0"/>
    <n v="0"/>
    <n v="0"/>
    <n v="0"/>
    <n v="0"/>
    <n v="50.2"/>
  </r>
  <r>
    <x v="63"/>
    <d v="2025-04-11T00:00:00"/>
    <x v="0"/>
    <s v="North"/>
    <s v="Mobile"/>
    <s v="Organic"/>
    <s v="Basic"/>
    <n v="1"/>
    <n v="0"/>
    <n v="0"/>
    <n v="0"/>
    <n v="0"/>
    <n v="0"/>
    <n v="0"/>
    <n v="0"/>
    <n v="74.3"/>
  </r>
  <r>
    <x v="64"/>
    <d v="2025-03-07T00:00:00"/>
    <x v="0"/>
    <s v="South"/>
    <s v="Desktop"/>
    <s v="Paid Search"/>
    <s v="Free"/>
    <n v="1"/>
    <n v="0"/>
    <n v="0"/>
    <n v="0"/>
    <n v="0"/>
    <n v="0"/>
    <n v="0"/>
    <n v="0"/>
    <n v="58"/>
  </r>
  <r>
    <x v="65"/>
    <d v="2025-05-30T00:00:00"/>
    <x v="0"/>
    <s v="South"/>
    <s v="Mobile"/>
    <s v="Organic"/>
    <s v="Free"/>
    <n v="0"/>
    <n v="0"/>
    <n v="0"/>
    <n v="0"/>
    <n v="0"/>
    <n v="0"/>
    <n v="0"/>
    <n v="0"/>
    <n v="46.7"/>
  </r>
  <r>
    <x v="66"/>
    <d v="2025-01-07T00:00:00"/>
    <x v="0"/>
    <s v="South"/>
    <s v="Desktop"/>
    <s v="Organic"/>
    <s v="Premium"/>
    <n v="1"/>
    <n v="0"/>
    <n v="0"/>
    <n v="0"/>
    <n v="0"/>
    <n v="1"/>
    <n v="0"/>
    <n v="0"/>
    <n v="49.6"/>
  </r>
  <r>
    <x v="67"/>
    <d v="2025-05-08T00:00:00"/>
    <x v="0"/>
    <s v="West"/>
    <s v="Mobile"/>
    <s v="Social"/>
    <s v="Free"/>
    <n v="0"/>
    <n v="0"/>
    <n v="0"/>
    <n v="0"/>
    <n v="0"/>
    <n v="0"/>
    <n v="0"/>
    <n v="0"/>
    <n v="60.4"/>
  </r>
  <r>
    <x v="68"/>
    <d v="2025-03-19T00:00:00"/>
    <x v="0"/>
    <s v="East"/>
    <s v="Desktop"/>
    <s v="Email"/>
    <s v="Free"/>
    <n v="1"/>
    <n v="1"/>
    <n v="1"/>
    <n v="0"/>
    <n v="0"/>
    <n v="0"/>
    <n v="0"/>
    <n v="0"/>
    <n v="55.3"/>
  </r>
  <r>
    <x v="69"/>
    <d v="2025-05-16T00:00:00"/>
    <x v="0"/>
    <s v="North"/>
    <s v="Desktop"/>
    <s v="Organic"/>
    <s v="Free"/>
    <n v="0"/>
    <n v="0"/>
    <n v="0"/>
    <n v="0"/>
    <n v="0"/>
    <n v="0"/>
    <n v="0"/>
    <n v="0"/>
    <n v="56.2"/>
  </r>
  <r>
    <x v="70"/>
    <d v="2025-03-08T00:00:00"/>
    <x v="0"/>
    <s v="West"/>
    <s v="Mobile"/>
    <s v="Email"/>
    <s v="Free"/>
    <n v="0"/>
    <n v="0"/>
    <n v="0"/>
    <n v="0"/>
    <n v="0"/>
    <n v="0"/>
    <n v="0"/>
    <n v="0"/>
    <n v="29.4"/>
  </r>
  <r>
    <x v="71"/>
    <d v="2025-03-08T00:00:00"/>
    <x v="0"/>
    <s v="East"/>
    <s v="Mobile"/>
    <s v="Email"/>
    <s v="Free"/>
    <n v="1"/>
    <n v="0"/>
    <n v="0"/>
    <n v="0"/>
    <n v="0"/>
    <n v="0"/>
    <n v="0"/>
    <n v="0"/>
    <n v="54.2"/>
  </r>
  <r>
    <x v="72"/>
    <d v="2025-01-14T00:00:00"/>
    <x v="0"/>
    <s v="East"/>
    <s v="Desktop"/>
    <s v="Paid Search"/>
    <s v="Basic"/>
    <n v="0"/>
    <n v="0"/>
    <n v="0"/>
    <n v="0"/>
    <n v="0"/>
    <n v="0"/>
    <n v="0"/>
    <n v="0"/>
    <n v="46.4"/>
  </r>
  <r>
    <x v="73"/>
    <d v="2025-02-10T00:00:00"/>
    <x v="0"/>
    <s v="South"/>
    <s v="Mobile"/>
    <s v="Paid Search"/>
    <s v="Basic"/>
    <n v="0"/>
    <n v="0"/>
    <n v="0"/>
    <n v="0"/>
    <n v="0"/>
    <n v="0"/>
    <n v="0"/>
    <n v="0"/>
    <n v="54.5"/>
  </r>
  <r>
    <x v="74"/>
    <d v="2025-03-17T00:00:00"/>
    <x v="0"/>
    <s v="North"/>
    <s v="Mobile"/>
    <s v="Organic"/>
    <s v="Free"/>
    <n v="0"/>
    <n v="0"/>
    <n v="0"/>
    <n v="0"/>
    <n v="0"/>
    <n v="0"/>
    <n v="0"/>
    <n v="0"/>
    <n v="58.5"/>
  </r>
  <r>
    <x v="75"/>
    <d v="2025-01-09T00:00:00"/>
    <x v="0"/>
    <s v="South"/>
    <s v="Mobile"/>
    <s v="Email"/>
    <s v="Free"/>
    <n v="0"/>
    <n v="0"/>
    <n v="0"/>
    <n v="0"/>
    <n v="0"/>
    <n v="0"/>
    <n v="0"/>
    <n v="0"/>
    <n v="75.900000000000006"/>
  </r>
  <r>
    <x v="76"/>
    <d v="2025-04-17T00:00:00"/>
    <x v="0"/>
    <s v="North"/>
    <s v="Mobile"/>
    <s v="Referral"/>
    <s v="Free"/>
    <n v="0"/>
    <n v="0"/>
    <n v="0"/>
    <n v="0"/>
    <n v="0"/>
    <n v="1"/>
    <n v="0"/>
    <n v="0"/>
    <n v="84.9"/>
  </r>
  <r>
    <x v="77"/>
    <d v="2025-01-16T00:00:00"/>
    <x v="0"/>
    <s v="North"/>
    <s v="Mobile"/>
    <s v="Organic"/>
    <s v="Free"/>
    <n v="0"/>
    <n v="0"/>
    <n v="0"/>
    <n v="0"/>
    <n v="0"/>
    <n v="2"/>
    <n v="0"/>
    <n v="0"/>
    <n v="48.4"/>
  </r>
  <r>
    <x v="78"/>
    <d v="2025-02-20T00:00:00"/>
    <x v="0"/>
    <s v="West"/>
    <s v="Desktop"/>
    <s v="Organic"/>
    <s v="Free"/>
    <n v="1"/>
    <n v="1"/>
    <n v="1"/>
    <n v="1"/>
    <n v="457.51"/>
    <n v="0"/>
    <n v="0"/>
    <n v="7"/>
    <n v="38"/>
  </r>
  <r>
    <x v="79"/>
    <d v="2025-05-21T00:00:00"/>
    <x v="0"/>
    <s v="East"/>
    <s v="Mobile"/>
    <s v="Social"/>
    <s v="Free"/>
    <n v="1"/>
    <n v="0"/>
    <n v="0"/>
    <n v="0"/>
    <n v="0"/>
    <n v="0"/>
    <n v="0"/>
    <n v="0"/>
    <n v="44.2"/>
  </r>
  <r>
    <x v="80"/>
    <d v="2025-05-08T00:00:00"/>
    <x v="0"/>
    <s v="South"/>
    <s v="Mobile"/>
    <s v="Organic"/>
    <s v="Free"/>
    <n v="1"/>
    <n v="1"/>
    <n v="1"/>
    <n v="0"/>
    <n v="0"/>
    <n v="0"/>
    <n v="0"/>
    <n v="0"/>
    <n v="81.2"/>
  </r>
  <r>
    <x v="81"/>
    <d v="2025-03-08T00:00:00"/>
    <x v="0"/>
    <s v="South"/>
    <s v="Mobile"/>
    <s v="Referral"/>
    <s v="Free"/>
    <n v="1"/>
    <n v="1"/>
    <n v="0"/>
    <n v="0"/>
    <n v="0"/>
    <n v="0"/>
    <n v="0"/>
    <n v="0"/>
    <n v="63.8"/>
  </r>
  <r>
    <x v="82"/>
    <d v="2025-04-01T00:00:00"/>
    <x v="0"/>
    <s v="South"/>
    <s v="Desktop"/>
    <s v="Email"/>
    <s v="Free"/>
    <n v="0"/>
    <n v="0"/>
    <n v="0"/>
    <n v="0"/>
    <n v="0"/>
    <n v="0"/>
    <n v="0"/>
    <n v="0"/>
    <n v="64.7"/>
  </r>
  <r>
    <x v="83"/>
    <d v="2025-03-03T00:00:00"/>
    <x v="0"/>
    <s v="West"/>
    <s v="Mobile"/>
    <s v="Social"/>
    <s v="Basic"/>
    <n v="0"/>
    <n v="0"/>
    <n v="0"/>
    <n v="0"/>
    <n v="0"/>
    <n v="0"/>
    <n v="0"/>
    <n v="0"/>
    <n v="60.4"/>
  </r>
  <r>
    <x v="84"/>
    <d v="2025-04-16T00:00:00"/>
    <x v="0"/>
    <s v="South"/>
    <s v="Mobile"/>
    <s v="Paid Search"/>
    <s v="Free"/>
    <n v="0"/>
    <n v="0"/>
    <n v="0"/>
    <n v="0"/>
    <n v="0"/>
    <n v="0"/>
    <n v="0"/>
    <n v="0"/>
    <n v="66.599999999999994"/>
  </r>
  <r>
    <x v="85"/>
    <d v="2025-01-09T00:00:00"/>
    <x v="0"/>
    <s v="North"/>
    <s v="Desktop"/>
    <s v="Organic"/>
    <s v="Free"/>
    <n v="1"/>
    <n v="0"/>
    <n v="0"/>
    <n v="0"/>
    <n v="0"/>
    <n v="0"/>
    <n v="0"/>
    <n v="0"/>
    <n v="50.9"/>
  </r>
  <r>
    <x v="86"/>
    <d v="2025-01-22T00:00:00"/>
    <x v="0"/>
    <s v="West"/>
    <s v="Desktop"/>
    <s v="Social"/>
    <s v="Basic"/>
    <n v="0"/>
    <n v="0"/>
    <n v="0"/>
    <n v="0"/>
    <n v="0"/>
    <n v="0"/>
    <n v="0"/>
    <n v="0"/>
    <n v="51"/>
  </r>
  <r>
    <x v="87"/>
    <d v="2025-04-30T00:00:00"/>
    <x v="0"/>
    <s v="South"/>
    <s v="Mobile"/>
    <s v="Email"/>
    <s v="Premium"/>
    <n v="0"/>
    <n v="0"/>
    <n v="0"/>
    <n v="0"/>
    <n v="0"/>
    <n v="0"/>
    <n v="0"/>
    <n v="0"/>
    <n v="65.8"/>
  </r>
  <r>
    <x v="88"/>
    <d v="2025-04-25T00:00:00"/>
    <x v="0"/>
    <s v="North"/>
    <s v="Mobile"/>
    <s v="Referral"/>
    <s v="Basic"/>
    <n v="1"/>
    <n v="0"/>
    <n v="0"/>
    <n v="0"/>
    <n v="0"/>
    <n v="0"/>
    <n v="0"/>
    <n v="0"/>
    <n v="61.8"/>
  </r>
  <r>
    <x v="89"/>
    <d v="2025-02-01T00:00:00"/>
    <x v="0"/>
    <s v="North"/>
    <s v="Mobile"/>
    <s v="Organic"/>
    <s v="Basic"/>
    <n v="1"/>
    <n v="0"/>
    <n v="0"/>
    <n v="0"/>
    <n v="0"/>
    <n v="0"/>
    <n v="0"/>
    <n v="0"/>
    <n v="54.5"/>
  </r>
  <r>
    <x v="90"/>
    <d v="2025-04-23T00:00:00"/>
    <x v="0"/>
    <s v="South"/>
    <s v="Desktop"/>
    <s v="Organic"/>
    <s v="Free"/>
    <n v="1"/>
    <n v="0"/>
    <n v="0"/>
    <n v="0"/>
    <n v="0"/>
    <n v="0"/>
    <n v="0"/>
    <n v="0"/>
    <n v="72.2"/>
  </r>
  <r>
    <x v="91"/>
    <d v="2025-02-27T00:00:00"/>
    <x v="0"/>
    <s v="South"/>
    <s v="Mobile"/>
    <s v="Social"/>
    <s v="Free"/>
    <n v="1"/>
    <n v="0"/>
    <n v="0"/>
    <n v="0"/>
    <n v="0"/>
    <n v="0"/>
    <n v="0"/>
    <n v="0"/>
    <n v="42.3"/>
  </r>
  <r>
    <x v="92"/>
    <d v="2025-04-09T00:00:00"/>
    <x v="0"/>
    <s v="East"/>
    <s v="Desktop"/>
    <s v="Organic"/>
    <s v="Basic"/>
    <n v="1"/>
    <n v="0"/>
    <n v="0"/>
    <n v="0"/>
    <n v="0"/>
    <n v="0"/>
    <n v="0"/>
    <n v="0"/>
    <n v="76.2"/>
  </r>
  <r>
    <x v="93"/>
    <d v="2025-05-13T00:00:00"/>
    <x v="0"/>
    <s v="South"/>
    <s v="Tablet"/>
    <s v="Organic"/>
    <s v="Premium"/>
    <n v="1"/>
    <n v="1"/>
    <n v="1"/>
    <n v="0"/>
    <n v="0"/>
    <n v="1"/>
    <n v="0"/>
    <n v="0"/>
    <n v="37.4"/>
  </r>
  <r>
    <x v="94"/>
    <d v="2025-04-13T00:00:00"/>
    <x v="0"/>
    <s v="East"/>
    <s v="Mobile"/>
    <s v="Organic"/>
    <s v="Free"/>
    <n v="0"/>
    <n v="0"/>
    <n v="0"/>
    <n v="0"/>
    <n v="0"/>
    <n v="0"/>
    <n v="0"/>
    <n v="0"/>
    <n v="84.2"/>
  </r>
  <r>
    <x v="95"/>
    <d v="2025-02-05T00:00:00"/>
    <x v="0"/>
    <s v="East"/>
    <s v="Mobile"/>
    <s v="Social"/>
    <s v="Free"/>
    <n v="0"/>
    <n v="0"/>
    <n v="0"/>
    <n v="0"/>
    <n v="0"/>
    <n v="0"/>
    <n v="0"/>
    <n v="0"/>
    <n v="68"/>
  </r>
  <r>
    <x v="96"/>
    <d v="2025-02-14T00:00:00"/>
    <x v="0"/>
    <s v="West"/>
    <s v="Mobile"/>
    <s v="Organic"/>
    <s v="Basic"/>
    <n v="1"/>
    <n v="0"/>
    <n v="0"/>
    <n v="0"/>
    <n v="0"/>
    <n v="0"/>
    <n v="0"/>
    <n v="0"/>
    <n v="53.5"/>
  </r>
  <r>
    <x v="97"/>
    <d v="2025-02-11T00:00:00"/>
    <x v="0"/>
    <s v="North"/>
    <s v="Desktop"/>
    <s v="Organic"/>
    <s v="Premium"/>
    <n v="1"/>
    <n v="0"/>
    <n v="0"/>
    <n v="0"/>
    <n v="0"/>
    <n v="0"/>
    <n v="0"/>
    <n v="0"/>
    <n v="63.2"/>
  </r>
  <r>
    <x v="98"/>
    <d v="2025-02-11T00:00:00"/>
    <x v="0"/>
    <s v="East"/>
    <s v="Desktop"/>
    <s v="Social"/>
    <s v="Free"/>
    <n v="1"/>
    <n v="1"/>
    <n v="1"/>
    <n v="1"/>
    <n v="363.32"/>
    <n v="0"/>
    <n v="0"/>
    <n v="9"/>
    <n v="55.9"/>
  </r>
  <r>
    <x v="99"/>
    <d v="2025-05-26T00:00:00"/>
    <x v="0"/>
    <s v="North"/>
    <s v="Mobile"/>
    <s v="Organic"/>
    <s v="Free"/>
    <n v="1"/>
    <n v="0"/>
    <n v="0"/>
    <n v="0"/>
    <n v="0"/>
    <n v="0"/>
    <n v="0"/>
    <n v="0"/>
    <n v="63.5"/>
  </r>
  <r>
    <x v="100"/>
    <d v="2025-03-22T00:00:00"/>
    <x v="0"/>
    <s v="North"/>
    <s v="Mobile"/>
    <s v="Paid Search"/>
    <s v="Basic"/>
    <n v="1"/>
    <n v="0"/>
    <n v="0"/>
    <n v="0"/>
    <n v="0"/>
    <n v="0"/>
    <n v="0"/>
    <n v="0"/>
    <n v="51.5"/>
  </r>
  <r>
    <x v="101"/>
    <d v="2025-04-08T00:00:00"/>
    <x v="0"/>
    <s v="West"/>
    <s v="Mobile"/>
    <s v="Paid Search"/>
    <s v="Free"/>
    <n v="1"/>
    <n v="0"/>
    <n v="0"/>
    <n v="0"/>
    <n v="0"/>
    <n v="0"/>
    <n v="0"/>
    <n v="0"/>
    <n v="74.400000000000006"/>
  </r>
  <r>
    <x v="102"/>
    <d v="2025-04-14T00:00:00"/>
    <x v="0"/>
    <s v="North"/>
    <s v="Desktop"/>
    <s v="Social"/>
    <s v="Free"/>
    <n v="1"/>
    <n v="1"/>
    <n v="1"/>
    <n v="1"/>
    <n v="3887.98"/>
    <n v="0"/>
    <n v="0"/>
    <n v="13"/>
    <n v="60.2"/>
  </r>
  <r>
    <x v="103"/>
    <d v="2025-03-27T00:00:00"/>
    <x v="0"/>
    <s v="South"/>
    <s v="Mobile"/>
    <s v="Email"/>
    <s v="Free"/>
    <n v="1"/>
    <n v="0"/>
    <n v="0"/>
    <n v="0"/>
    <n v="0"/>
    <n v="1"/>
    <n v="0"/>
    <n v="0"/>
    <n v="67.2"/>
  </r>
  <r>
    <x v="104"/>
    <d v="2025-01-05T00:00:00"/>
    <x v="0"/>
    <s v="South"/>
    <s v="Mobile"/>
    <s v="Social"/>
    <s v="Free"/>
    <n v="1"/>
    <n v="1"/>
    <n v="1"/>
    <n v="0"/>
    <n v="0"/>
    <n v="0"/>
    <n v="0"/>
    <n v="0"/>
    <n v="79.599999999999994"/>
  </r>
  <r>
    <x v="105"/>
    <d v="2025-01-25T00:00:00"/>
    <x v="0"/>
    <s v="South"/>
    <s v="Mobile"/>
    <s v="Social"/>
    <s v="Basic"/>
    <n v="1"/>
    <n v="1"/>
    <n v="1"/>
    <n v="1"/>
    <n v="8610.7199999999993"/>
    <n v="0"/>
    <n v="0"/>
    <n v="6"/>
    <n v="61"/>
  </r>
  <r>
    <x v="106"/>
    <d v="2025-01-23T00:00:00"/>
    <x v="0"/>
    <s v="West"/>
    <s v="Mobile"/>
    <s v="Email"/>
    <s v="Free"/>
    <n v="1"/>
    <n v="1"/>
    <n v="1"/>
    <n v="0"/>
    <n v="0"/>
    <n v="4"/>
    <n v="0"/>
    <n v="0"/>
    <n v="51.1"/>
  </r>
  <r>
    <x v="107"/>
    <d v="2025-05-25T00:00:00"/>
    <x v="0"/>
    <s v="East"/>
    <s v="Desktop"/>
    <s v="Referral"/>
    <s v="Free"/>
    <n v="1"/>
    <n v="0"/>
    <n v="0"/>
    <n v="0"/>
    <n v="0"/>
    <n v="0"/>
    <n v="0"/>
    <n v="0"/>
    <n v="92.1"/>
  </r>
  <r>
    <x v="108"/>
    <d v="2025-03-22T00:00:00"/>
    <x v="0"/>
    <s v="South"/>
    <s v="Mobile"/>
    <s v="Referral"/>
    <s v="Basic"/>
    <n v="0"/>
    <n v="0"/>
    <n v="0"/>
    <n v="0"/>
    <n v="0"/>
    <n v="0"/>
    <n v="0"/>
    <n v="0"/>
    <n v="82.1"/>
  </r>
  <r>
    <x v="109"/>
    <d v="2025-02-12T00:00:00"/>
    <x v="0"/>
    <s v="West"/>
    <s v="Desktop"/>
    <s v="Paid Search"/>
    <s v="Basic"/>
    <n v="1"/>
    <n v="0"/>
    <n v="0"/>
    <n v="0"/>
    <n v="0"/>
    <n v="1"/>
    <n v="0"/>
    <n v="0"/>
    <n v="74"/>
  </r>
  <r>
    <x v="110"/>
    <d v="2025-04-28T00:00:00"/>
    <x v="0"/>
    <s v="West"/>
    <s v="Desktop"/>
    <s v="Organic"/>
    <s v="Basic"/>
    <n v="1"/>
    <n v="0"/>
    <n v="0"/>
    <n v="0"/>
    <n v="0"/>
    <n v="0"/>
    <n v="0"/>
    <n v="0"/>
    <n v="63.4"/>
  </r>
  <r>
    <x v="111"/>
    <d v="2025-01-30T00:00:00"/>
    <x v="0"/>
    <s v="North"/>
    <s v="Mobile"/>
    <s v="Organic"/>
    <s v="Basic"/>
    <n v="1"/>
    <n v="0"/>
    <n v="0"/>
    <n v="0"/>
    <n v="0"/>
    <n v="0"/>
    <n v="0"/>
    <n v="0"/>
    <n v="53.2"/>
  </r>
  <r>
    <x v="112"/>
    <d v="2025-05-19T00:00:00"/>
    <x v="0"/>
    <s v="East"/>
    <s v="Tablet"/>
    <s v="Paid Search"/>
    <s v="Free"/>
    <n v="0"/>
    <n v="0"/>
    <n v="0"/>
    <n v="0"/>
    <n v="0"/>
    <n v="0"/>
    <n v="0"/>
    <n v="0"/>
    <n v="48.1"/>
  </r>
  <r>
    <x v="113"/>
    <d v="2025-01-23T00:00:00"/>
    <x v="0"/>
    <s v="South"/>
    <s v="Mobile"/>
    <s v="Social"/>
    <s v="Free"/>
    <n v="1"/>
    <n v="1"/>
    <n v="0"/>
    <n v="0"/>
    <n v="0"/>
    <n v="0"/>
    <n v="0"/>
    <n v="0"/>
    <n v="61.5"/>
  </r>
  <r>
    <x v="114"/>
    <d v="2025-03-28T00:00:00"/>
    <x v="0"/>
    <s v="East"/>
    <s v="Desktop"/>
    <s v="Social"/>
    <s v="Free"/>
    <n v="1"/>
    <n v="0"/>
    <n v="0"/>
    <n v="0"/>
    <n v="0"/>
    <n v="0"/>
    <n v="0"/>
    <n v="0"/>
    <n v="63.2"/>
  </r>
  <r>
    <x v="115"/>
    <d v="2025-01-11T00:00:00"/>
    <x v="0"/>
    <s v="West"/>
    <s v="Mobile"/>
    <s v="Organic"/>
    <s v="Free"/>
    <n v="0"/>
    <n v="0"/>
    <n v="0"/>
    <n v="0"/>
    <n v="0"/>
    <n v="0"/>
    <n v="0"/>
    <n v="0"/>
    <n v="71.900000000000006"/>
  </r>
  <r>
    <x v="116"/>
    <d v="2025-04-11T00:00:00"/>
    <x v="0"/>
    <s v="North"/>
    <s v="Mobile"/>
    <s v="Referral"/>
    <s v="Free"/>
    <n v="0"/>
    <n v="0"/>
    <n v="0"/>
    <n v="0"/>
    <n v="0"/>
    <n v="0"/>
    <n v="0"/>
    <n v="0"/>
    <n v="62.7"/>
  </r>
  <r>
    <x v="117"/>
    <d v="2025-01-02T00:00:00"/>
    <x v="0"/>
    <s v="West"/>
    <s v="Mobile"/>
    <s v="Paid Search"/>
    <s v="Free"/>
    <n v="1"/>
    <n v="0"/>
    <n v="0"/>
    <n v="0"/>
    <n v="0"/>
    <n v="0"/>
    <n v="0"/>
    <n v="0"/>
    <n v="51.5"/>
  </r>
  <r>
    <x v="118"/>
    <d v="2025-03-18T00:00:00"/>
    <x v="0"/>
    <s v="East"/>
    <s v="Mobile"/>
    <s v="Social"/>
    <s v="Free"/>
    <n v="1"/>
    <n v="1"/>
    <n v="1"/>
    <n v="0"/>
    <n v="0"/>
    <n v="0"/>
    <n v="0"/>
    <n v="0"/>
    <n v="39.1"/>
  </r>
  <r>
    <x v="119"/>
    <d v="2025-03-31T00:00:00"/>
    <x v="0"/>
    <s v="North"/>
    <s v="Mobile"/>
    <s v="Email"/>
    <s v="Free"/>
    <n v="1"/>
    <n v="0"/>
    <n v="0"/>
    <n v="0"/>
    <n v="0"/>
    <n v="0"/>
    <n v="0"/>
    <n v="0"/>
    <n v="43.8"/>
  </r>
  <r>
    <x v="120"/>
    <d v="2025-01-06T00:00:00"/>
    <x v="0"/>
    <s v="North"/>
    <s v="Mobile"/>
    <s v="Paid Search"/>
    <s v="Basic"/>
    <n v="1"/>
    <n v="0"/>
    <n v="0"/>
    <n v="0"/>
    <n v="0"/>
    <n v="0"/>
    <n v="0"/>
    <n v="0"/>
    <n v="59.9"/>
  </r>
  <r>
    <x v="121"/>
    <d v="2025-01-26T00:00:00"/>
    <x v="0"/>
    <s v="North"/>
    <s v="Mobile"/>
    <s v="Referral"/>
    <s v="Free"/>
    <n v="1"/>
    <n v="1"/>
    <n v="0"/>
    <n v="0"/>
    <n v="0"/>
    <n v="0"/>
    <n v="0"/>
    <n v="0"/>
    <n v="71.400000000000006"/>
  </r>
  <r>
    <x v="122"/>
    <d v="2025-04-22T00:00:00"/>
    <x v="0"/>
    <s v="South"/>
    <s v="Mobile"/>
    <s v="Referral"/>
    <s v="Basic"/>
    <n v="0"/>
    <n v="0"/>
    <n v="0"/>
    <n v="0"/>
    <n v="0"/>
    <n v="0"/>
    <n v="0"/>
    <n v="0"/>
    <n v="36.1"/>
  </r>
  <r>
    <x v="123"/>
    <d v="2025-05-30T00:00:00"/>
    <x v="0"/>
    <s v="West"/>
    <s v="Unknown"/>
    <s v="Email"/>
    <s v="Basic"/>
    <n v="1"/>
    <n v="1"/>
    <n v="0"/>
    <n v="0"/>
    <n v="0"/>
    <n v="0"/>
    <n v="0"/>
    <n v="0"/>
    <n v="47.9"/>
  </r>
  <r>
    <x v="124"/>
    <d v="2025-05-18T00:00:00"/>
    <x v="0"/>
    <s v="West"/>
    <s v="Desktop"/>
    <s v="Organic"/>
    <s v="Premium"/>
    <n v="1"/>
    <n v="0"/>
    <n v="0"/>
    <n v="0"/>
    <n v="0"/>
    <n v="0"/>
    <n v="0"/>
    <n v="0"/>
    <n v="62.5"/>
  </r>
  <r>
    <x v="125"/>
    <d v="2025-01-13T00:00:00"/>
    <x v="0"/>
    <s v="South"/>
    <s v="Desktop"/>
    <s v="Paid Search"/>
    <s v="Premium"/>
    <n v="1"/>
    <n v="0"/>
    <n v="0"/>
    <n v="0"/>
    <n v="0"/>
    <n v="0"/>
    <n v="0"/>
    <n v="0"/>
    <n v="56.9"/>
  </r>
  <r>
    <x v="126"/>
    <d v="2025-03-25T00:00:00"/>
    <x v="0"/>
    <s v="North"/>
    <s v="Desktop"/>
    <s v="Email"/>
    <s v="Free"/>
    <n v="0"/>
    <n v="0"/>
    <n v="0"/>
    <n v="0"/>
    <n v="0"/>
    <n v="0"/>
    <n v="0"/>
    <n v="0"/>
    <n v="64.7"/>
  </r>
  <r>
    <x v="127"/>
    <d v="2025-04-29T00:00:00"/>
    <x v="0"/>
    <s v="South"/>
    <s v="Desktop"/>
    <s v="Organic"/>
    <s v="Free"/>
    <n v="1"/>
    <n v="1"/>
    <n v="1"/>
    <n v="0"/>
    <n v="0"/>
    <n v="0"/>
    <n v="0"/>
    <n v="0"/>
    <n v="64"/>
  </r>
  <r>
    <x v="128"/>
    <d v="2025-05-17T00:00:00"/>
    <x v="0"/>
    <s v="East"/>
    <s v="Mobile"/>
    <s v="Referral"/>
    <s v="Basic"/>
    <n v="1"/>
    <n v="1"/>
    <n v="1"/>
    <n v="0"/>
    <n v="0"/>
    <n v="0"/>
    <n v="0"/>
    <n v="0"/>
    <n v="75.2"/>
  </r>
  <r>
    <x v="129"/>
    <d v="2025-01-02T00:00:00"/>
    <x v="0"/>
    <s v="North"/>
    <s v="Mobile"/>
    <s v="Paid Search"/>
    <s v="Free"/>
    <n v="1"/>
    <n v="0"/>
    <n v="0"/>
    <n v="0"/>
    <n v="0"/>
    <n v="1"/>
    <n v="0"/>
    <n v="0"/>
    <n v="79"/>
  </r>
  <r>
    <x v="130"/>
    <d v="2025-02-03T00:00:00"/>
    <x v="0"/>
    <s v="South"/>
    <s v="Mobile"/>
    <s v="Organic"/>
    <s v="Free"/>
    <n v="0"/>
    <n v="0"/>
    <n v="0"/>
    <n v="0"/>
    <n v="0"/>
    <n v="0"/>
    <n v="0"/>
    <n v="0"/>
    <n v="33"/>
  </r>
  <r>
    <x v="131"/>
    <d v="2025-03-04T00:00:00"/>
    <x v="0"/>
    <s v="East"/>
    <s v="Mobile"/>
    <s v="Organic"/>
    <s v="Free"/>
    <n v="1"/>
    <n v="0"/>
    <n v="0"/>
    <n v="0"/>
    <n v="0"/>
    <n v="0"/>
    <n v="0"/>
    <n v="0"/>
    <n v="67.900000000000006"/>
  </r>
  <r>
    <x v="132"/>
    <d v="2025-01-26T00:00:00"/>
    <x v="0"/>
    <s v="South"/>
    <s v="Mobile"/>
    <s v="Paid Search"/>
    <s v="Basic"/>
    <n v="0"/>
    <n v="0"/>
    <n v="0"/>
    <n v="0"/>
    <n v="0"/>
    <n v="0"/>
    <n v="0"/>
    <n v="0"/>
    <n v="42.2"/>
  </r>
  <r>
    <x v="133"/>
    <d v="2025-05-12T00:00:00"/>
    <x v="0"/>
    <s v="West"/>
    <s v="Mobile"/>
    <s v="Paid Search"/>
    <s v="Basic"/>
    <n v="1"/>
    <n v="1"/>
    <n v="1"/>
    <n v="0"/>
    <n v="0"/>
    <n v="0"/>
    <n v="0"/>
    <n v="0"/>
    <n v="43.4"/>
  </r>
  <r>
    <x v="134"/>
    <d v="2025-03-06T00:00:00"/>
    <x v="0"/>
    <s v="North"/>
    <s v="Mobile"/>
    <s v="Organic"/>
    <s v="Basic"/>
    <n v="0"/>
    <n v="0"/>
    <n v="0"/>
    <n v="0"/>
    <n v="0"/>
    <n v="0"/>
    <n v="0"/>
    <n v="0"/>
    <n v="54.4"/>
  </r>
  <r>
    <x v="135"/>
    <d v="2025-03-10T00:00:00"/>
    <x v="0"/>
    <s v="South"/>
    <s v="Desktop"/>
    <s v="Email"/>
    <s v="Premium"/>
    <n v="0"/>
    <n v="0"/>
    <n v="0"/>
    <n v="0"/>
    <n v="0"/>
    <n v="0"/>
    <n v="0"/>
    <n v="0"/>
    <n v="45.7"/>
  </r>
  <r>
    <x v="136"/>
    <d v="2025-05-06T00:00:00"/>
    <x v="0"/>
    <s v="North"/>
    <s v="Mobile"/>
    <s v="Paid Search"/>
    <s v="Free"/>
    <n v="0"/>
    <n v="0"/>
    <n v="0"/>
    <n v="0"/>
    <n v="0"/>
    <n v="3"/>
    <n v="0"/>
    <n v="0"/>
    <n v="32"/>
  </r>
  <r>
    <x v="137"/>
    <d v="2025-02-23T00:00:00"/>
    <x v="0"/>
    <s v="South"/>
    <s v="Desktop"/>
    <s v="Paid Search"/>
    <s v="Free"/>
    <n v="1"/>
    <n v="0"/>
    <n v="0"/>
    <n v="0"/>
    <n v="0"/>
    <n v="0"/>
    <n v="0"/>
    <n v="0"/>
    <n v="70.900000000000006"/>
  </r>
  <r>
    <x v="138"/>
    <d v="2025-01-29T00:00:00"/>
    <x v="0"/>
    <s v="West"/>
    <s v="Mobile"/>
    <s v="Social"/>
    <s v="Basic"/>
    <n v="1"/>
    <n v="1"/>
    <n v="1"/>
    <n v="0"/>
    <n v="0"/>
    <n v="0"/>
    <n v="0"/>
    <n v="0"/>
    <n v="59.1"/>
  </r>
  <r>
    <x v="139"/>
    <d v="2025-01-31T00:00:00"/>
    <x v="0"/>
    <s v="North"/>
    <s v="Mobile"/>
    <s v="Organic"/>
    <s v="Basic"/>
    <n v="0"/>
    <n v="0"/>
    <n v="0"/>
    <n v="0"/>
    <n v="0"/>
    <n v="0"/>
    <n v="0"/>
    <n v="0"/>
    <n v="62.4"/>
  </r>
  <r>
    <x v="140"/>
    <d v="2025-01-19T00:00:00"/>
    <x v="0"/>
    <s v="South"/>
    <s v="Mobile"/>
    <s v="Organic"/>
    <s v="Free"/>
    <n v="0"/>
    <n v="0"/>
    <n v="0"/>
    <n v="0"/>
    <n v="0"/>
    <n v="0"/>
    <n v="0"/>
    <n v="0"/>
    <n v="49.6"/>
  </r>
  <r>
    <x v="141"/>
    <d v="2025-04-03T00:00:00"/>
    <x v="0"/>
    <s v="West"/>
    <s v="Desktop"/>
    <s v="Social"/>
    <s v="Free"/>
    <n v="1"/>
    <n v="1"/>
    <n v="1"/>
    <n v="1"/>
    <n v="404.4"/>
    <n v="0"/>
    <n v="0"/>
    <n v="9"/>
    <n v="80.599999999999994"/>
  </r>
  <r>
    <x v="142"/>
    <d v="2025-04-07T00:00:00"/>
    <x v="0"/>
    <s v="North"/>
    <s v="Mobile"/>
    <s v="Paid Search"/>
    <s v="Free"/>
    <n v="1"/>
    <n v="0"/>
    <n v="0"/>
    <n v="0"/>
    <n v="0"/>
    <n v="0"/>
    <n v="0"/>
    <n v="0"/>
    <n v="47.9"/>
  </r>
  <r>
    <x v="143"/>
    <d v="2025-01-06T00:00:00"/>
    <x v="0"/>
    <s v="East"/>
    <s v="Mobile"/>
    <s v="Paid Search"/>
    <s v="Basic"/>
    <n v="1"/>
    <n v="1"/>
    <n v="0"/>
    <n v="0"/>
    <n v="0"/>
    <n v="0"/>
    <n v="0"/>
    <n v="0"/>
    <n v="54.8"/>
  </r>
  <r>
    <x v="144"/>
    <d v="2025-04-11T00:00:00"/>
    <x v="0"/>
    <s v="East"/>
    <s v="Mobile"/>
    <s v="Organic"/>
    <s v="Free"/>
    <n v="1"/>
    <n v="0"/>
    <n v="0"/>
    <n v="0"/>
    <n v="0"/>
    <n v="1"/>
    <n v="0"/>
    <n v="0"/>
    <n v="53.9"/>
  </r>
  <r>
    <x v="145"/>
    <d v="2025-04-23T00:00:00"/>
    <x v="0"/>
    <s v="East"/>
    <s v="Mobile"/>
    <s v="Paid Search"/>
    <s v="Free"/>
    <n v="1"/>
    <n v="0"/>
    <n v="0"/>
    <n v="0"/>
    <n v="0"/>
    <n v="0"/>
    <n v="0"/>
    <n v="0"/>
    <n v="41.3"/>
  </r>
  <r>
    <x v="146"/>
    <d v="2025-03-25T00:00:00"/>
    <x v="0"/>
    <s v="West"/>
    <s v="Mobile"/>
    <s v="Organic"/>
    <s v="Basic"/>
    <n v="1"/>
    <n v="1"/>
    <n v="0"/>
    <n v="0"/>
    <n v="0"/>
    <n v="0"/>
    <n v="0"/>
    <n v="0"/>
    <n v="38.9"/>
  </r>
  <r>
    <x v="147"/>
    <d v="2025-05-25T00:00:00"/>
    <x v="0"/>
    <s v="South"/>
    <s v="Desktop"/>
    <s v="Organic"/>
    <s v="Basic"/>
    <n v="1"/>
    <n v="0"/>
    <n v="0"/>
    <n v="0"/>
    <n v="0"/>
    <n v="0"/>
    <n v="0"/>
    <n v="0"/>
    <n v="63.6"/>
  </r>
  <r>
    <x v="148"/>
    <d v="2025-01-28T00:00:00"/>
    <x v="0"/>
    <s v="North"/>
    <s v="Mobile"/>
    <s v="Organic"/>
    <s v="Free"/>
    <n v="1"/>
    <n v="1"/>
    <n v="1"/>
    <n v="1"/>
    <n v="577.94000000000005"/>
    <n v="0"/>
    <n v="0"/>
    <n v="9"/>
    <n v="76.599999999999994"/>
  </r>
  <r>
    <x v="149"/>
    <d v="2025-02-12T00:00:00"/>
    <x v="0"/>
    <s v="West"/>
    <s v="Mobile"/>
    <s v="Paid Search"/>
    <s v="Premium"/>
    <n v="0"/>
    <n v="0"/>
    <n v="0"/>
    <n v="0"/>
    <n v="0"/>
    <n v="1"/>
    <n v="0"/>
    <n v="0"/>
    <n v="67.599999999999994"/>
  </r>
  <r>
    <x v="150"/>
    <d v="2025-04-29T00:00:00"/>
    <x v="0"/>
    <s v="North"/>
    <s v="Mobile"/>
    <s v="Social"/>
    <s v="Premium"/>
    <n v="1"/>
    <n v="0"/>
    <n v="0"/>
    <n v="0"/>
    <n v="0"/>
    <n v="0"/>
    <n v="0"/>
    <n v="0"/>
    <n v="43.1"/>
  </r>
  <r>
    <x v="151"/>
    <d v="2025-03-13T00:00:00"/>
    <x v="0"/>
    <s v="South"/>
    <s v="Mobile"/>
    <s v="Email"/>
    <s v="Free"/>
    <n v="1"/>
    <n v="0"/>
    <n v="0"/>
    <n v="0"/>
    <n v="0"/>
    <n v="0"/>
    <n v="0"/>
    <n v="0"/>
    <n v="58.3"/>
  </r>
  <r>
    <x v="152"/>
    <d v="2025-02-04T00:00:00"/>
    <x v="0"/>
    <s v="East"/>
    <s v="Desktop"/>
    <s v="Paid Search"/>
    <s v="Free"/>
    <n v="1"/>
    <n v="0"/>
    <n v="0"/>
    <n v="0"/>
    <n v="0"/>
    <n v="0"/>
    <n v="0"/>
    <n v="0"/>
    <n v="69.8"/>
  </r>
  <r>
    <x v="153"/>
    <d v="2025-03-04T00:00:00"/>
    <x v="0"/>
    <s v="South"/>
    <s v="Mobile"/>
    <s v="Referral"/>
    <s v="Free"/>
    <n v="1"/>
    <n v="1"/>
    <n v="0"/>
    <n v="0"/>
    <n v="0"/>
    <n v="0"/>
    <n v="0"/>
    <n v="0"/>
    <n v="0"/>
  </r>
  <r>
    <x v="154"/>
    <d v="2025-02-04T00:00:00"/>
    <x v="0"/>
    <s v="West"/>
    <s v="Mobile"/>
    <s v="Paid Search"/>
    <s v="Basic"/>
    <n v="1"/>
    <n v="1"/>
    <n v="0"/>
    <n v="0"/>
    <n v="0"/>
    <n v="0"/>
    <n v="0"/>
    <n v="0"/>
    <n v="41.9"/>
  </r>
  <r>
    <x v="155"/>
    <d v="2025-03-11T00:00:00"/>
    <x v="0"/>
    <s v="North"/>
    <s v="Desktop"/>
    <s v="Organic"/>
    <s v="Free"/>
    <n v="0"/>
    <n v="0"/>
    <n v="0"/>
    <n v="0"/>
    <n v="0"/>
    <n v="0"/>
    <n v="0"/>
    <n v="0"/>
    <n v="33.1"/>
  </r>
  <r>
    <x v="156"/>
    <d v="2025-04-22T00:00:00"/>
    <x v="0"/>
    <s v="West"/>
    <s v="Mobile"/>
    <s v="Organic"/>
    <s v="Free"/>
    <n v="0"/>
    <n v="0"/>
    <n v="0"/>
    <n v="0"/>
    <n v="0"/>
    <n v="0"/>
    <n v="0"/>
    <n v="0"/>
    <n v="58.6"/>
  </r>
  <r>
    <x v="157"/>
    <d v="2025-03-08T00:00:00"/>
    <x v="0"/>
    <s v="North"/>
    <s v="Desktop"/>
    <s v="Paid Search"/>
    <s v="Free"/>
    <n v="0"/>
    <n v="0"/>
    <n v="0"/>
    <n v="0"/>
    <n v="0"/>
    <n v="0"/>
    <n v="0"/>
    <n v="0"/>
    <n v="55.7"/>
  </r>
  <r>
    <x v="158"/>
    <d v="2025-03-10T00:00:00"/>
    <x v="0"/>
    <s v="East"/>
    <s v="Mobile"/>
    <s v="Organic"/>
    <s v="Free"/>
    <n v="0"/>
    <n v="0"/>
    <n v="0"/>
    <n v="0"/>
    <n v="0"/>
    <n v="2"/>
    <n v="0"/>
    <n v="0"/>
    <n v="64.900000000000006"/>
  </r>
  <r>
    <x v="159"/>
    <d v="2025-05-18T00:00:00"/>
    <x v="0"/>
    <s v="North"/>
    <s v="Desktop"/>
    <s v="Paid Search"/>
    <s v="Basic"/>
    <n v="0"/>
    <n v="0"/>
    <n v="0"/>
    <n v="0"/>
    <n v="0"/>
    <n v="0"/>
    <n v="0"/>
    <n v="0"/>
    <n v="72.3"/>
  </r>
  <r>
    <x v="160"/>
    <d v="2025-05-14T00:00:00"/>
    <x v="0"/>
    <s v="North"/>
    <s v="Mobile"/>
    <s v="Social"/>
    <s v="Basic"/>
    <n v="0"/>
    <n v="0"/>
    <n v="0"/>
    <n v="0"/>
    <n v="0"/>
    <n v="0"/>
    <n v="0"/>
    <n v="0"/>
    <n v="42.1"/>
  </r>
  <r>
    <x v="161"/>
    <d v="2025-02-01T00:00:00"/>
    <x v="0"/>
    <s v="North"/>
    <s v="Mobile"/>
    <s v="Organic"/>
    <s v="Free"/>
    <n v="0"/>
    <n v="0"/>
    <n v="0"/>
    <n v="0"/>
    <n v="0"/>
    <n v="0"/>
    <n v="0"/>
    <n v="0"/>
    <n v="0"/>
  </r>
  <r>
    <x v="162"/>
    <d v="2025-04-11T00:00:00"/>
    <x v="0"/>
    <s v="South"/>
    <s v="Mobile"/>
    <s v="Organic"/>
    <s v="Basic"/>
    <n v="0"/>
    <n v="0"/>
    <n v="0"/>
    <n v="0"/>
    <n v="0"/>
    <n v="1"/>
    <n v="0"/>
    <n v="0"/>
    <n v="64.8"/>
  </r>
  <r>
    <x v="163"/>
    <d v="2025-02-14T00:00:00"/>
    <x v="0"/>
    <s v="East"/>
    <s v="Mobile"/>
    <s v="Organic"/>
    <s v="Free"/>
    <n v="0"/>
    <n v="0"/>
    <n v="0"/>
    <n v="0"/>
    <n v="0"/>
    <n v="0"/>
    <n v="0"/>
    <n v="0"/>
    <n v="72.099999999999994"/>
  </r>
  <r>
    <x v="164"/>
    <d v="2025-05-19T00:00:00"/>
    <x v="0"/>
    <s v="East"/>
    <s v="Mobile"/>
    <s v="Social"/>
    <s v="Free"/>
    <n v="1"/>
    <n v="0"/>
    <n v="0"/>
    <n v="0"/>
    <n v="0"/>
    <n v="0"/>
    <n v="0"/>
    <n v="0"/>
    <n v="50.6"/>
  </r>
  <r>
    <x v="165"/>
    <d v="2025-04-26T00:00:00"/>
    <x v="0"/>
    <s v="North"/>
    <s v="Desktop"/>
    <s v="Paid Search"/>
    <s v="Basic"/>
    <n v="1"/>
    <n v="1"/>
    <n v="1"/>
    <n v="1"/>
    <n v="1281.25"/>
    <n v="1"/>
    <n v="0"/>
    <n v="9"/>
    <n v="43.4"/>
  </r>
  <r>
    <x v="166"/>
    <d v="2025-04-06T00:00:00"/>
    <x v="0"/>
    <s v="South"/>
    <s v="Mobile"/>
    <s v="Social"/>
    <s v="Free"/>
    <n v="1"/>
    <n v="0"/>
    <n v="0"/>
    <n v="0"/>
    <n v="0"/>
    <n v="0"/>
    <n v="0"/>
    <n v="0"/>
    <n v="59.7"/>
  </r>
  <r>
    <x v="167"/>
    <d v="2025-03-06T00:00:00"/>
    <x v="0"/>
    <s v="South"/>
    <s v="Mobile"/>
    <s v="Paid Search"/>
    <s v="Free"/>
    <n v="1"/>
    <n v="0"/>
    <n v="0"/>
    <n v="0"/>
    <n v="0"/>
    <n v="1"/>
    <n v="0"/>
    <n v="0"/>
    <n v="0"/>
  </r>
  <r>
    <x v="168"/>
    <d v="2025-03-10T00:00:00"/>
    <x v="0"/>
    <s v="West"/>
    <s v="Mobile"/>
    <s v="Social"/>
    <s v="Basic"/>
    <n v="0"/>
    <n v="0"/>
    <n v="0"/>
    <n v="0"/>
    <n v="0"/>
    <n v="0"/>
    <n v="0"/>
    <n v="0"/>
    <n v="54.5"/>
  </r>
  <r>
    <x v="169"/>
    <d v="2025-03-30T00:00:00"/>
    <x v="0"/>
    <s v="North"/>
    <s v="Mobile"/>
    <s v="Organic"/>
    <s v="Free"/>
    <n v="1"/>
    <n v="0"/>
    <n v="0"/>
    <n v="0"/>
    <n v="0"/>
    <n v="0"/>
    <n v="0"/>
    <n v="0"/>
    <n v="71.099999999999994"/>
  </r>
  <r>
    <x v="170"/>
    <d v="2025-05-29T00:00:00"/>
    <x v="0"/>
    <s v="East"/>
    <s v="Unknown"/>
    <s v="Paid Search"/>
    <s v="Free"/>
    <n v="1"/>
    <n v="1"/>
    <n v="1"/>
    <n v="0"/>
    <n v="0"/>
    <n v="0"/>
    <n v="0"/>
    <n v="0"/>
    <n v="44.4"/>
  </r>
  <r>
    <x v="171"/>
    <d v="2025-03-23T00:00:00"/>
    <x v="0"/>
    <s v="North"/>
    <s v="Mobile"/>
    <s v="Organic"/>
    <s v="Free"/>
    <n v="1"/>
    <n v="0"/>
    <n v="0"/>
    <n v="0"/>
    <n v="0"/>
    <n v="0"/>
    <n v="0"/>
    <n v="0"/>
    <n v="61.7"/>
  </r>
  <r>
    <x v="172"/>
    <d v="2025-02-18T00:00:00"/>
    <x v="0"/>
    <s v="North"/>
    <s v="Tablet"/>
    <s v="Organic"/>
    <s v="Basic"/>
    <n v="0"/>
    <n v="0"/>
    <n v="0"/>
    <n v="0"/>
    <n v="0"/>
    <n v="1"/>
    <n v="0"/>
    <n v="0"/>
    <n v="81.3"/>
  </r>
  <r>
    <x v="173"/>
    <d v="2025-01-26T00:00:00"/>
    <x v="0"/>
    <s v="North"/>
    <s v="Desktop"/>
    <s v="Email"/>
    <s v="Free"/>
    <n v="1"/>
    <n v="0"/>
    <n v="0"/>
    <n v="0"/>
    <n v="0"/>
    <n v="2"/>
    <n v="0"/>
    <n v="0"/>
    <n v="28.7"/>
  </r>
  <r>
    <x v="174"/>
    <d v="2025-04-23T00:00:00"/>
    <x v="0"/>
    <s v="East"/>
    <s v="Mobile"/>
    <s v="Social"/>
    <s v="Basic"/>
    <n v="0"/>
    <n v="0"/>
    <n v="0"/>
    <n v="0"/>
    <n v="0"/>
    <n v="0"/>
    <n v="0"/>
    <n v="0"/>
    <n v="53"/>
  </r>
  <r>
    <x v="175"/>
    <d v="2025-03-16T00:00:00"/>
    <x v="0"/>
    <s v="South"/>
    <s v="Tablet"/>
    <s v="Referral"/>
    <s v="Basic"/>
    <n v="1"/>
    <n v="0"/>
    <n v="0"/>
    <n v="0"/>
    <n v="0"/>
    <n v="0"/>
    <n v="0"/>
    <n v="0"/>
    <n v="54.9"/>
  </r>
  <r>
    <x v="176"/>
    <d v="2025-04-29T00:00:00"/>
    <x v="0"/>
    <s v="West"/>
    <s v="Mobile"/>
    <s v="Organic"/>
    <s v="Basic"/>
    <n v="1"/>
    <n v="0"/>
    <n v="0"/>
    <n v="0"/>
    <n v="0"/>
    <n v="0"/>
    <n v="0"/>
    <n v="0"/>
    <n v="58.2"/>
  </r>
  <r>
    <x v="177"/>
    <d v="2025-04-06T00:00:00"/>
    <x v="0"/>
    <s v="North"/>
    <s v="Mobile"/>
    <s v="Organic"/>
    <s v="Free"/>
    <n v="0"/>
    <n v="0"/>
    <n v="0"/>
    <n v="0"/>
    <n v="0"/>
    <n v="0"/>
    <n v="0"/>
    <n v="0"/>
    <n v="80.599999999999994"/>
  </r>
  <r>
    <x v="178"/>
    <d v="2025-04-17T00:00:00"/>
    <x v="0"/>
    <s v="North"/>
    <s v="Desktop"/>
    <s v="Referral"/>
    <s v="Premium"/>
    <n v="1"/>
    <n v="1"/>
    <n v="1"/>
    <n v="0"/>
    <n v="0"/>
    <n v="0"/>
    <n v="0"/>
    <n v="0"/>
    <n v="38.4"/>
  </r>
  <r>
    <x v="179"/>
    <d v="2025-04-03T00:00:00"/>
    <x v="0"/>
    <s v="South"/>
    <s v="Mobile"/>
    <s v="Paid Search"/>
    <s v="Free"/>
    <n v="1"/>
    <n v="0"/>
    <n v="0"/>
    <n v="0"/>
    <n v="0"/>
    <n v="0"/>
    <n v="0"/>
    <n v="0"/>
    <n v="56.1"/>
  </r>
  <r>
    <x v="180"/>
    <d v="2025-04-25T00:00:00"/>
    <x v="0"/>
    <s v="West"/>
    <s v="Mobile"/>
    <s v="Paid Search"/>
    <s v="Free"/>
    <n v="0"/>
    <n v="0"/>
    <n v="0"/>
    <n v="0"/>
    <n v="0"/>
    <n v="0"/>
    <n v="0"/>
    <n v="0"/>
    <n v="62.6"/>
  </r>
  <r>
    <x v="181"/>
    <d v="2025-04-30T00:00:00"/>
    <x v="0"/>
    <s v="South"/>
    <s v="Mobile"/>
    <s v="Organic"/>
    <s v="Premium"/>
    <n v="0"/>
    <n v="0"/>
    <n v="0"/>
    <n v="0"/>
    <n v="0"/>
    <n v="0"/>
    <n v="0"/>
    <n v="0"/>
    <n v="36.299999999999997"/>
  </r>
  <r>
    <x v="182"/>
    <d v="2025-03-12T00:00:00"/>
    <x v="0"/>
    <s v="South"/>
    <s v="Mobile"/>
    <s v="Paid Search"/>
    <s v="Free"/>
    <n v="1"/>
    <n v="0"/>
    <n v="0"/>
    <n v="0"/>
    <n v="0"/>
    <n v="0"/>
    <n v="0"/>
    <n v="0"/>
    <n v="52.1"/>
  </r>
  <r>
    <x v="183"/>
    <d v="2025-05-04T00:00:00"/>
    <x v="0"/>
    <s v="South"/>
    <s v="Mobile"/>
    <s v="Organic"/>
    <s v="Free"/>
    <n v="1"/>
    <n v="0"/>
    <n v="0"/>
    <n v="0"/>
    <n v="0"/>
    <n v="0"/>
    <n v="0"/>
    <n v="0"/>
    <n v="45.1"/>
  </r>
  <r>
    <x v="184"/>
    <d v="2025-02-07T00:00:00"/>
    <x v="0"/>
    <s v="South"/>
    <s v="Tablet"/>
    <s v="Paid Search"/>
    <s v="Premium"/>
    <n v="0"/>
    <n v="0"/>
    <n v="0"/>
    <n v="0"/>
    <n v="0"/>
    <n v="0"/>
    <n v="0"/>
    <n v="0"/>
    <n v="67.5"/>
  </r>
  <r>
    <x v="185"/>
    <d v="2025-04-28T00:00:00"/>
    <x v="0"/>
    <s v="East"/>
    <s v="Tablet"/>
    <s v="Email"/>
    <s v="Basic"/>
    <n v="1"/>
    <n v="1"/>
    <n v="1"/>
    <n v="0"/>
    <n v="0"/>
    <n v="0"/>
    <n v="0"/>
    <n v="0"/>
    <n v="80"/>
  </r>
  <r>
    <x v="186"/>
    <d v="2025-05-15T00:00:00"/>
    <x v="0"/>
    <s v="East"/>
    <s v="Desktop"/>
    <s v="Referral"/>
    <s v="Free"/>
    <n v="0"/>
    <n v="0"/>
    <n v="0"/>
    <n v="0"/>
    <n v="0"/>
    <n v="0"/>
    <n v="0"/>
    <n v="0"/>
    <n v="56.4"/>
  </r>
  <r>
    <x v="187"/>
    <d v="2025-01-18T00:00:00"/>
    <x v="0"/>
    <s v="West"/>
    <s v="Mobile"/>
    <s v="Paid Search"/>
    <s v="Basic"/>
    <n v="0"/>
    <n v="0"/>
    <n v="0"/>
    <n v="0"/>
    <n v="0"/>
    <n v="0"/>
    <n v="0"/>
    <n v="0"/>
    <n v="55.4"/>
  </r>
  <r>
    <x v="188"/>
    <d v="2025-02-15T00:00:00"/>
    <x v="0"/>
    <s v="South"/>
    <s v="Mobile"/>
    <s v="Social"/>
    <s v="Basic"/>
    <n v="1"/>
    <n v="0"/>
    <n v="0"/>
    <n v="0"/>
    <n v="0"/>
    <n v="0"/>
    <n v="0"/>
    <n v="0"/>
    <n v="67.900000000000006"/>
  </r>
  <r>
    <x v="189"/>
    <d v="2025-02-18T00:00:00"/>
    <x v="0"/>
    <s v="North"/>
    <s v="Tablet"/>
    <s v="Email"/>
    <s v="Free"/>
    <n v="1"/>
    <n v="0"/>
    <n v="0"/>
    <n v="0"/>
    <n v="0"/>
    <n v="0"/>
    <n v="0"/>
    <n v="0"/>
    <n v="62.5"/>
  </r>
  <r>
    <x v="190"/>
    <d v="2025-01-30T00:00:00"/>
    <x v="0"/>
    <s v="South"/>
    <s v="Desktop"/>
    <s v="Email"/>
    <s v="Basic"/>
    <n v="1"/>
    <n v="1"/>
    <n v="1"/>
    <n v="0"/>
    <n v="0"/>
    <n v="0"/>
    <n v="0"/>
    <n v="0"/>
    <n v="54.3"/>
  </r>
  <r>
    <x v="191"/>
    <d v="2025-02-09T00:00:00"/>
    <x v="0"/>
    <s v="South"/>
    <s v="Desktop"/>
    <s v="Organic"/>
    <s v="Basic"/>
    <n v="1"/>
    <n v="0"/>
    <n v="0"/>
    <n v="0"/>
    <n v="0"/>
    <n v="0"/>
    <n v="0"/>
    <n v="0"/>
    <n v="37.5"/>
  </r>
  <r>
    <x v="192"/>
    <d v="2025-03-16T00:00:00"/>
    <x v="0"/>
    <s v="West"/>
    <s v="Mobile"/>
    <s v="Paid Search"/>
    <s v="Basic"/>
    <n v="1"/>
    <n v="0"/>
    <n v="0"/>
    <n v="0"/>
    <n v="0"/>
    <n v="0"/>
    <n v="0"/>
    <n v="0"/>
    <n v="52.6"/>
  </r>
  <r>
    <x v="193"/>
    <d v="2025-05-19T00:00:00"/>
    <x v="0"/>
    <s v="North"/>
    <s v="Mobile"/>
    <s v="Paid Search"/>
    <s v="Free"/>
    <n v="1"/>
    <n v="0"/>
    <n v="0"/>
    <n v="0"/>
    <n v="0"/>
    <n v="0"/>
    <n v="0"/>
    <n v="0"/>
    <n v="46.1"/>
  </r>
  <r>
    <x v="194"/>
    <d v="2025-05-16T00:00:00"/>
    <x v="0"/>
    <s v="South"/>
    <s v="Desktop"/>
    <s v="Organic"/>
    <s v="Basic"/>
    <n v="1"/>
    <n v="0"/>
    <n v="0"/>
    <n v="0"/>
    <n v="0"/>
    <n v="0"/>
    <n v="0"/>
    <n v="0"/>
    <n v="54.7"/>
  </r>
  <r>
    <x v="195"/>
    <d v="2025-04-25T00:00:00"/>
    <x v="0"/>
    <s v="West"/>
    <s v="Desktop"/>
    <s v="Referral"/>
    <s v="Basic"/>
    <n v="0"/>
    <n v="0"/>
    <n v="0"/>
    <n v="0"/>
    <n v="0"/>
    <n v="0"/>
    <n v="0"/>
    <n v="0"/>
    <n v="74.2"/>
  </r>
  <r>
    <x v="196"/>
    <d v="2025-02-27T00:00:00"/>
    <x v="0"/>
    <s v="North"/>
    <s v="Mobile"/>
    <s v="Social"/>
    <s v="Basic"/>
    <n v="1"/>
    <n v="1"/>
    <n v="1"/>
    <n v="1"/>
    <n v="1052.8"/>
    <n v="2"/>
    <n v="0"/>
    <n v="6"/>
    <n v="64.7"/>
  </r>
  <r>
    <x v="197"/>
    <d v="2025-04-26T00:00:00"/>
    <x v="0"/>
    <s v="South"/>
    <s v="Mobile"/>
    <s v="Paid Search"/>
    <s v="Basic"/>
    <n v="0"/>
    <n v="0"/>
    <n v="0"/>
    <n v="0"/>
    <n v="0"/>
    <n v="0"/>
    <n v="0"/>
    <n v="0"/>
    <n v="65.900000000000006"/>
  </r>
  <r>
    <x v="198"/>
    <d v="2025-05-14T00:00:00"/>
    <x v="0"/>
    <s v="North"/>
    <s v="Mobile"/>
    <s v="Organic"/>
    <s v="Basic"/>
    <n v="1"/>
    <n v="0"/>
    <n v="0"/>
    <n v="0"/>
    <n v="0"/>
    <n v="0"/>
    <n v="0"/>
    <n v="0"/>
    <n v="64"/>
  </r>
  <r>
    <x v="199"/>
    <d v="2025-03-05T00:00:00"/>
    <x v="0"/>
    <s v="North"/>
    <s v="Mobile"/>
    <s v="Organic"/>
    <s v="Premium"/>
    <n v="1"/>
    <n v="0"/>
    <n v="0"/>
    <n v="0"/>
    <n v="0"/>
    <n v="0"/>
    <n v="0"/>
    <n v="0"/>
    <n v="57.2"/>
  </r>
  <r>
    <x v="200"/>
    <d v="2025-04-02T00:00:00"/>
    <x v="0"/>
    <s v="West"/>
    <s v="Desktop"/>
    <s v="Organic"/>
    <s v="Free"/>
    <n v="1"/>
    <n v="0"/>
    <n v="0"/>
    <n v="0"/>
    <n v="0"/>
    <n v="0"/>
    <n v="0"/>
    <n v="0"/>
    <n v="80.5"/>
  </r>
  <r>
    <x v="201"/>
    <d v="2025-05-14T00:00:00"/>
    <x v="0"/>
    <s v="South"/>
    <s v="Tablet"/>
    <s v="Organic"/>
    <s v="Free"/>
    <n v="0"/>
    <n v="0"/>
    <n v="0"/>
    <n v="0"/>
    <n v="0"/>
    <n v="0"/>
    <n v="0"/>
    <n v="0"/>
    <n v="53.9"/>
  </r>
  <r>
    <x v="202"/>
    <d v="2025-05-21T00:00:00"/>
    <x v="0"/>
    <s v="North"/>
    <s v="Mobile"/>
    <s v="Paid Search"/>
    <s v="Free"/>
    <n v="1"/>
    <n v="1"/>
    <n v="0"/>
    <n v="0"/>
    <n v="0"/>
    <n v="0"/>
    <n v="0"/>
    <n v="0"/>
    <n v="77.5"/>
  </r>
  <r>
    <x v="203"/>
    <d v="2025-01-27T00:00:00"/>
    <x v="0"/>
    <s v="East"/>
    <s v="Mobile"/>
    <s v="Social"/>
    <s v="Basic"/>
    <n v="0"/>
    <n v="0"/>
    <n v="0"/>
    <n v="0"/>
    <n v="0"/>
    <n v="0"/>
    <n v="0"/>
    <n v="0"/>
    <n v="84.2"/>
  </r>
  <r>
    <x v="204"/>
    <d v="2025-05-22T00:00:00"/>
    <x v="0"/>
    <s v="West"/>
    <s v="Desktop"/>
    <s v="Organic"/>
    <s v="Free"/>
    <n v="1"/>
    <n v="1"/>
    <n v="0"/>
    <n v="0"/>
    <n v="0"/>
    <n v="0"/>
    <n v="0"/>
    <n v="0"/>
    <n v="54.9"/>
  </r>
  <r>
    <x v="205"/>
    <d v="2025-05-19T00:00:00"/>
    <x v="0"/>
    <s v="South"/>
    <s v="Mobile"/>
    <s v="Paid Search"/>
    <s v="Free"/>
    <n v="0"/>
    <n v="0"/>
    <n v="0"/>
    <n v="0"/>
    <n v="0"/>
    <n v="0"/>
    <n v="0"/>
    <n v="0"/>
    <n v="69.3"/>
  </r>
  <r>
    <x v="206"/>
    <d v="2025-01-14T00:00:00"/>
    <x v="0"/>
    <s v="South"/>
    <s v="Desktop"/>
    <s v="Paid Search"/>
    <s v="Free"/>
    <n v="1"/>
    <n v="0"/>
    <n v="0"/>
    <n v="0"/>
    <n v="0"/>
    <n v="2"/>
    <n v="0"/>
    <n v="0"/>
    <n v="42.3"/>
  </r>
  <r>
    <x v="207"/>
    <d v="2025-01-21T00:00:00"/>
    <x v="0"/>
    <s v="North"/>
    <s v="Desktop"/>
    <s v="Referral"/>
    <s v="Premium"/>
    <n v="1"/>
    <n v="0"/>
    <n v="0"/>
    <n v="0"/>
    <n v="0"/>
    <n v="1"/>
    <n v="0"/>
    <n v="0"/>
    <n v="69.599999999999994"/>
  </r>
  <r>
    <x v="208"/>
    <d v="2025-05-16T00:00:00"/>
    <x v="0"/>
    <s v="East"/>
    <s v="Mobile"/>
    <s v="Organic"/>
    <s v="Free"/>
    <n v="0"/>
    <n v="0"/>
    <n v="0"/>
    <n v="0"/>
    <n v="0"/>
    <n v="0"/>
    <n v="0"/>
    <n v="0"/>
    <n v="40.700000000000003"/>
  </r>
  <r>
    <x v="209"/>
    <d v="2025-02-02T00:00:00"/>
    <x v="0"/>
    <s v="North"/>
    <s v="Mobile"/>
    <s v="Email"/>
    <s v="Free"/>
    <n v="1"/>
    <n v="0"/>
    <n v="0"/>
    <n v="0"/>
    <n v="0"/>
    <n v="0"/>
    <n v="0"/>
    <n v="0"/>
    <n v="54"/>
  </r>
  <r>
    <x v="210"/>
    <d v="2025-03-23T00:00:00"/>
    <x v="0"/>
    <s v="East"/>
    <s v="Unknown"/>
    <s v="Referral"/>
    <s v="Free"/>
    <n v="1"/>
    <n v="1"/>
    <n v="1"/>
    <n v="1"/>
    <n v="553.37"/>
    <n v="0"/>
    <n v="0"/>
    <n v="5"/>
    <n v="46.3"/>
  </r>
  <r>
    <x v="211"/>
    <d v="2025-01-24T00:00:00"/>
    <x v="0"/>
    <s v="East"/>
    <s v="Mobile"/>
    <s v="Organic"/>
    <s v="Free"/>
    <n v="1"/>
    <n v="0"/>
    <n v="0"/>
    <n v="0"/>
    <n v="0"/>
    <n v="0"/>
    <n v="0"/>
    <n v="0"/>
    <n v="64.2"/>
  </r>
  <r>
    <x v="212"/>
    <d v="2025-04-12T00:00:00"/>
    <x v="0"/>
    <s v="North"/>
    <s v="Desktop"/>
    <s v="Organic"/>
    <s v="Free"/>
    <n v="1"/>
    <n v="0"/>
    <n v="0"/>
    <n v="0"/>
    <n v="0"/>
    <n v="0"/>
    <n v="0"/>
    <n v="0"/>
    <n v="75.2"/>
  </r>
  <r>
    <x v="213"/>
    <d v="2025-02-18T00:00:00"/>
    <x v="0"/>
    <s v="East"/>
    <s v="Desktop"/>
    <s v="Paid Search"/>
    <s v="Free"/>
    <n v="1"/>
    <n v="1"/>
    <n v="0"/>
    <n v="0"/>
    <n v="0"/>
    <n v="0"/>
    <n v="0"/>
    <n v="0"/>
    <n v="60.9"/>
  </r>
  <r>
    <x v="214"/>
    <d v="2025-05-28T00:00:00"/>
    <x v="0"/>
    <s v="South"/>
    <s v="Mobile"/>
    <s v="Email"/>
    <s v="Basic"/>
    <n v="1"/>
    <n v="1"/>
    <n v="1"/>
    <n v="0"/>
    <n v="0"/>
    <n v="0"/>
    <n v="0"/>
    <n v="0"/>
    <n v="62.1"/>
  </r>
  <r>
    <x v="215"/>
    <d v="2025-04-18T00:00:00"/>
    <x v="0"/>
    <s v="South"/>
    <s v="Mobile"/>
    <s v="Social"/>
    <s v="Basic"/>
    <n v="0"/>
    <n v="0"/>
    <n v="0"/>
    <n v="0"/>
    <n v="0"/>
    <n v="0"/>
    <n v="0"/>
    <n v="0"/>
    <n v="45.4"/>
  </r>
  <r>
    <x v="216"/>
    <d v="2025-03-27T00:00:00"/>
    <x v="0"/>
    <s v="North"/>
    <s v="Mobile"/>
    <s v="Paid Search"/>
    <s v="Basic"/>
    <n v="1"/>
    <n v="0"/>
    <n v="0"/>
    <n v="0"/>
    <n v="0"/>
    <n v="0"/>
    <n v="0"/>
    <n v="0"/>
    <n v="53.3"/>
  </r>
  <r>
    <x v="217"/>
    <d v="2025-02-25T00:00:00"/>
    <x v="0"/>
    <s v="North"/>
    <s v="Tablet"/>
    <s v="Social"/>
    <s v="Free"/>
    <n v="1"/>
    <n v="0"/>
    <n v="0"/>
    <n v="0"/>
    <n v="0"/>
    <n v="0"/>
    <n v="0"/>
    <n v="0"/>
    <n v="0"/>
  </r>
  <r>
    <x v="218"/>
    <d v="2025-02-19T00:00:00"/>
    <x v="0"/>
    <s v="East"/>
    <s v="Mobile"/>
    <s v="Paid Search"/>
    <s v="Free"/>
    <n v="0"/>
    <n v="0"/>
    <n v="0"/>
    <n v="0"/>
    <n v="0"/>
    <n v="1"/>
    <n v="0"/>
    <n v="0"/>
    <n v="38.200000000000003"/>
  </r>
  <r>
    <x v="219"/>
    <d v="2025-04-11T00:00:00"/>
    <x v="0"/>
    <s v="West"/>
    <s v="Mobile"/>
    <s v="Paid Search"/>
    <s v="Free"/>
    <n v="1"/>
    <n v="1"/>
    <n v="0"/>
    <n v="0"/>
    <n v="0"/>
    <n v="3"/>
    <n v="0"/>
    <n v="0"/>
    <n v="59"/>
  </r>
  <r>
    <x v="220"/>
    <d v="2025-01-22T00:00:00"/>
    <x v="0"/>
    <s v="East"/>
    <s v="Tablet"/>
    <s v="Referral"/>
    <s v="Premium"/>
    <n v="1"/>
    <n v="1"/>
    <n v="1"/>
    <n v="0"/>
    <n v="0"/>
    <n v="0"/>
    <n v="0"/>
    <n v="0"/>
    <n v="80.599999999999994"/>
  </r>
  <r>
    <x v="221"/>
    <d v="2025-01-12T00:00:00"/>
    <x v="0"/>
    <s v="South"/>
    <s v="Mobile"/>
    <s v="Social"/>
    <s v="Free"/>
    <n v="1"/>
    <n v="0"/>
    <n v="0"/>
    <n v="0"/>
    <n v="0"/>
    <n v="0"/>
    <n v="0"/>
    <n v="0"/>
    <n v="67"/>
  </r>
  <r>
    <x v="222"/>
    <d v="2025-02-17T00:00:00"/>
    <x v="0"/>
    <s v="West"/>
    <s v="Mobile"/>
    <s v="Email"/>
    <s v="Free"/>
    <n v="1"/>
    <n v="0"/>
    <n v="0"/>
    <n v="0"/>
    <n v="0"/>
    <n v="1"/>
    <n v="0"/>
    <n v="0"/>
    <n v="72.099999999999994"/>
  </r>
  <r>
    <x v="223"/>
    <d v="2025-04-11T00:00:00"/>
    <x v="0"/>
    <s v="West"/>
    <s v="Desktop"/>
    <s v="Organic"/>
    <s v="Free"/>
    <n v="0"/>
    <n v="0"/>
    <n v="0"/>
    <n v="0"/>
    <n v="0"/>
    <n v="0"/>
    <n v="0"/>
    <n v="0"/>
    <n v="74.099999999999994"/>
  </r>
  <r>
    <x v="224"/>
    <d v="2025-05-25T00:00:00"/>
    <x v="0"/>
    <s v="South"/>
    <s v="Mobile"/>
    <s v="Referral"/>
    <s v="Premium"/>
    <n v="0"/>
    <n v="0"/>
    <n v="0"/>
    <n v="0"/>
    <n v="0"/>
    <n v="0"/>
    <n v="0"/>
    <n v="0"/>
    <n v="84.8"/>
  </r>
  <r>
    <x v="225"/>
    <d v="2025-03-12T00:00:00"/>
    <x v="0"/>
    <s v="South"/>
    <s v="Mobile"/>
    <s v="Organic"/>
    <s v="Basic"/>
    <n v="1"/>
    <n v="0"/>
    <n v="0"/>
    <n v="0"/>
    <n v="0"/>
    <n v="0"/>
    <n v="0"/>
    <n v="0"/>
    <n v="33"/>
  </r>
  <r>
    <x v="226"/>
    <d v="2025-04-20T00:00:00"/>
    <x v="0"/>
    <s v="North"/>
    <s v="Tablet"/>
    <s v="Email"/>
    <s v="Free"/>
    <n v="0"/>
    <n v="0"/>
    <n v="0"/>
    <n v="0"/>
    <n v="0"/>
    <n v="0"/>
    <n v="0"/>
    <n v="0"/>
    <n v="52.5"/>
  </r>
  <r>
    <x v="227"/>
    <d v="2025-02-23T00:00:00"/>
    <x v="0"/>
    <s v="North"/>
    <s v="Tablet"/>
    <s v="Organic"/>
    <s v="Free"/>
    <n v="0"/>
    <n v="0"/>
    <n v="0"/>
    <n v="0"/>
    <n v="0"/>
    <n v="0"/>
    <n v="0"/>
    <n v="0"/>
    <n v="66.900000000000006"/>
  </r>
  <r>
    <x v="228"/>
    <d v="2025-01-24T00:00:00"/>
    <x v="0"/>
    <s v="North"/>
    <s v="Mobile"/>
    <s v="Organic"/>
    <s v="Basic"/>
    <n v="1"/>
    <n v="1"/>
    <n v="1"/>
    <n v="0"/>
    <n v="0"/>
    <n v="1"/>
    <n v="0"/>
    <n v="0"/>
    <n v="32.700000000000003"/>
  </r>
  <r>
    <x v="229"/>
    <d v="2025-01-16T00:00:00"/>
    <x v="0"/>
    <s v="West"/>
    <s v="Mobile"/>
    <s v="Organic"/>
    <s v="Premium"/>
    <n v="1"/>
    <n v="1"/>
    <n v="1"/>
    <n v="0"/>
    <n v="0"/>
    <n v="1"/>
    <n v="0"/>
    <n v="0"/>
    <n v="70.599999999999994"/>
  </r>
  <r>
    <x v="230"/>
    <d v="2025-02-17T00:00:00"/>
    <x v="0"/>
    <s v="North"/>
    <s v="Mobile"/>
    <s v="Social"/>
    <s v="Free"/>
    <n v="0"/>
    <n v="0"/>
    <n v="0"/>
    <n v="0"/>
    <n v="0"/>
    <n v="0"/>
    <n v="0"/>
    <n v="0"/>
    <n v="69.400000000000006"/>
  </r>
  <r>
    <x v="231"/>
    <d v="2025-05-04T00:00:00"/>
    <x v="0"/>
    <s v="North"/>
    <s v="Desktop"/>
    <s v="Organic"/>
    <s v="Basic"/>
    <n v="1"/>
    <n v="0"/>
    <n v="0"/>
    <n v="0"/>
    <n v="0"/>
    <n v="0"/>
    <n v="0"/>
    <n v="0"/>
    <n v="56.1"/>
  </r>
  <r>
    <x v="232"/>
    <d v="2025-01-12T00:00:00"/>
    <x v="0"/>
    <s v="West"/>
    <s v="Mobile"/>
    <s v="Organic"/>
    <s v="Basic"/>
    <n v="0"/>
    <n v="0"/>
    <n v="0"/>
    <n v="0"/>
    <n v="0"/>
    <n v="0"/>
    <n v="0"/>
    <n v="0"/>
    <n v="55.8"/>
  </r>
  <r>
    <x v="233"/>
    <d v="2025-04-28T00:00:00"/>
    <x v="0"/>
    <s v="North"/>
    <s v="Tablet"/>
    <s v="Organic"/>
    <s v="Free"/>
    <n v="0"/>
    <n v="0"/>
    <n v="0"/>
    <n v="0"/>
    <n v="0"/>
    <n v="0"/>
    <n v="0"/>
    <n v="0"/>
    <n v="49.3"/>
  </r>
  <r>
    <x v="234"/>
    <d v="2025-02-26T00:00:00"/>
    <x v="0"/>
    <s v="North"/>
    <s v="Mobile"/>
    <s v="Organic"/>
    <s v="Free"/>
    <n v="0"/>
    <n v="0"/>
    <n v="0"/>
    <n v="0"/>
    <n v="0"/>
    <n v="0"/>
    <n v="0"/>
    <n v="0"/>
    <n v="71.8"/>
  </r>
  <r>
    <x v="235"/>
    <d v="2025-03-18T00:00:00"/>
    <x v="0"/>
    <s v="West"/>
    <s v="Mobile"/>
    <s v="Social"/>
    <s v="Free"/>
    <n v="1"/>
    <n v="0"/>
    <n v="0"/>
    <n v="0"/>
    <n v="0"/>
    <n v="3"/>
    <n v="0"/>
    <n v="0"/>
    <n v="39.700000000000003"/>
  </r>
  <r>
    <x v="236"/>
    <d v="2025-03-01T00:00:00"/>
    <x v="0"/>
    <s v="South"/>
    <s v="Desktop"/>
    <s v="Organic"/>
    <s v="Premium"/>
    <n v="1"/>
    <n v="0"/>
    <n v="0"/>
    <n v="0"/>
    <n v="0"/>
    <n v="0"/>
    <n v="0"/>
    <n v="0"/>
    <n v="45.4"/>
  </r>
  <r>
    <x v="237"/>
    <d v="2025-04-05T00:00:00"/>
    <x v="0"/>
    <s v="North"/>
    <s v="Desktop"/>
    <s v="Social"/>
    <s v="Premium"/>
    <n v="1"/>
    <n v="0"/>
    <n v="0"/>
    <n v="0"/>
    <n v="0"/>
    <n v="0"/>
    <n v="0"/>
    <n v="0"/>
    <n v="69.900000000000006"/>
  </r>
  <r>
    <x v="238"/>
    <d v="2025-03-12T00:00:00"/>
    <x v="0"/>
    <s v="North"/>
    <s v="Desktop"/>
    <s v="Social"/>
    <s v="Free"/>
    <n v="1"/>
    <n v="1"/>
    <n v="1"/>
    <n v="0"/>
    <n v="0"/>
    <n v="0"/>
    <n v="0"/>
    <n v="0"/>
    <n v="56.1"/>
  </r>
  <r>
    <x v="239"/>
    <d v="2025-03-15T00:00:00"/>
    <x v="0"/>
    <s v="West"/>
    <s v="Mobile"/>
    <s v="Referral"/>
    <s v="Basic"/>
    <n v="1"/>
    <n v="1"/>
    <n v="0"/>
    <n v="0"/>
    <n v="0"/>
    <n v="0"/>
    <n v="0"/>
    <n v="0"/>
    <n v="45.9"/>
  </r>
  <r>
    <x v="240"/>
    <d v="2025-02-23T00:00:00"/>
    <x v="0"/>
    <s v="West"/>
    <s v="Mobile"/>
    <s v="Email"/>
    <s v="Free"/>
    <n v="0"/>
    <n v="0"/>
    <n v="0"/>
    <n v="0"/>
    <n v="0"/>
    <n v="0"/>
    <n v="0"/>
    <n v="0"/>
    <n v="65.8"/>
  </r>
  <r>
    <x v="241"/>
    <d v="2025-04-22T00:00:00"/>
    <x v="0"/>
    <s v="North"/>
    <s v="Mobile"/>
    <s v="Organic"/>
    <s v="Basic"/>
    <n v="1"/>
    <n v="0"/>
    <n v="0"/>
    <n v="0"/>
    <n v="0"/>
    <n v="0"/>
    <n v="0"/>
    <n v="0"/>
    <n v="48.2"/>
  </r>
  <r>
    <x v="242"/>
    <d v="2025-01-09T00:00:00"/>
    <x v="0"/>
    <s v="East"/>
    <s v="Mobile"/>
    <s v="Organic"/>
    <s v="Basic"/>
    <n v="1"/>
    <n v="1"/>
    <n v="1"/>
    <n v="0"/>
    <n v="0"/>
    <n v="0"/>
    <n v="0"/>
    <n v="0"/>
    <n v="81.099999999999994"/>
  </r>
  <r>
    <x v="243"/>
    <d v="2025-03-05T00:00:00"/>
    <x v="0"/>
    <s v="East"/>
    <s v="Tablet"/>
    <s v="Social"/>
    <s v="Premium"/>
    <n v="1"/>
    <n v="1"/>
    <n v="0"/>
    <n v="0"/>
    <n v="0"/>
    <n v="0"/>
    <n v="0"/>
    <n v="0"/>
    <n v="53.2"/>
  </r>
  <r>
    <x v="244"/>
    <d v="2025-01-28T00:00:00"/>
    <x v="0"/>
    <s v="North"/>
    <s v="Mobile"/>
    <s v="Social"/>
    <s v="Free"/>
    <n v="1"/>
    <n v="1"/>
    <n v="1"/>
    <n v="0"/>
    <n v="0"/>
    <n v="0"/>
    <n v="0"/>
    <n v="0"/>
    <n v="57.7"/>
  </r>
  <r>
    <x v="245"/>
    <d v="2025-01-21T00:00:00"/>
    <x v="0"/>
    <s v="West"/>
    <s v="Mobile"/>
    <s v="Paid Search"/>
    <s v="Premium"/>
    <n v="1"/>
    <n v="1"/>
    <n v="0"/>
    <n v="0"/>
    <n v="0"/>
    <n v="0"/>
    <n v="0"/>
    <n v="0"/>
    <n v="78.900000000000006"/>
  </r>
  <r>
    <x v="246"/>
    <d v="2025-03-14T00:00:00"/>
    <x v="0"/>
    <s v="South"/>
    <s v="Mobile"/>
    <s v="Referral"/>
    <s v="Basic"/>
    <n v="0"/>
    <n v="0"/>
    <n v="0"/>
    <n v="0"/>
    <n v="0"/>
    <n v="0"/>
    <n v="0"/>
    <n v="0"/>
    <n v="55.7"/>
  </r>
  <r>
    <x v="247"/>
    <d v="2025-02-03T00:00:00"/>
    <x v="0"/>
    <s v="West"/>
    <s v="Mobile"/>
    <s v="Paid Search"/>
    <s v="Free"/>
    <n v="0"/>
    <n v="0"/>
    <n v="0"/>
    <n v="0"/>
    <n v="0"/>
    <n v="0"/>
    <n v="0"/>
    <n v="0"/>
    <n v="52.3"/>
  </r>
  <r>
    <x v="248"/>
    <d v="2025-05-22T00:00:00"/>
    <x v="0"/>
    <s v="North"/>
    <s v="Mobile"/>
    <s v="Social"/>
    <s v="Free"/>
    <n v="1"/>
    <n v="0"/>
    <n v="0"/>
    <n v="0"/>
    <n v="0"/>
    <n v="0"/>
    <n v="0"/>
    <n v="0"/>
    <n v="51.5"/>
  </r>
  <r>
    <x v="249"/>
    <d v="2025-04-25T00:00:00"/>
    <x v="0"/>
    <s v="North"/>
    <s v="Desktop"/>
    <s v="Email"/>
    <s v="Free"/>
    <n v="1"/>
    <n v="0"/>
    <n v="0"/>
    <n v="0"/>
    <n v="0"/>
    <n v="0"/>
    <n v="0"/>
    <n v="0"/>
    <n v="70.8"/>
  </r>
  <r>
    <x v="250"/>
    <d v="2025-01-30T00:00:00"/>
    <x v="0"/>
    <s v="North"/>
    <s v="Desktop"/>
    <s v="Email"/>
    <s v="Basic"/>
    <n v="1"/>
    <n v="1"/>
    <n v="1"/>
    <n v="1"/>
    <n v="1250.78"/>
    <n v="0"/>
    <n v="0"/>
    <n v="10"/>
    <n v="39"/>
  </r>
  <r>
    <x v="251"/>
    <d v="2025-05-23T00:00:00"/>
    <x v="0"/>
    <s v="West"/>
    <s v="Mobile"/>
    <s v="Organic"/>
    <s v="Free"/>
    <n v="1"/>
    <n v="0"/>
    <n v="0"/>
    <n v="0"/>
    <n v="0"/>
    <n v="0"/>
    <n v="0"/>
    <n v="0"/>
    <n v="61.6"/>
  </r>
  <r>
    <x v="252"/>
    <d v="2025-02-14T00:00:00"/>
    <x v="0"/>
    <s v="East"/>
    <s v="Desktop"/>
    <s v="Organic"/>
    <s v="Free"/>
    <n v="1"/>
    <n v="1"/>
    <n v="1"/>
    <n v="0"/>
    <n v="0"/>
    <n v="0"/>
    <n v="0"/>
    <n v="0"/>
    <n v="46.8"/>
  </r>
  <r>
    <x v="253"/>
    <d v="2025-03-05T00:00:00"/>
    <x v="0"/>
    <s v="North"/>
    <s v="Mobile"/>
    <s v="Paid Search"/>
    <s v="Premium"/>
    <n v="0"/>
    <n v="0"/>
    <n v="0"/>
    <n v="0"/>
    <n v="0"/>
    <n v="1"/>
    <n v="0"/>
    <n v="0"/>
    <n v="58.5"/>
  </r>
  <r>
    <x v="254"/>
    <d v="2025-05-27T00:00:00"/>
    <x v="0"/>
    <s v="North"/>
    <s v="Mobile"/>
    <s v="Paid Search"/>
    <s v="Basic"/>
    <n v="0"/>
    <n v="0"/>
    <n v="0"/>
    <n v="0"/>
    <n v="0"/>
    <n v="0"/>
    <n v="0"/>
    <n v="0"/>
    <n v="70.900000000000006"/>
  </r>
  <r>
    <x v="255"/>
    <d v="2025-01-07T00:00:00"/>
    <x v="0"/>
    <s v="South"/>
    <s v="Mobile"/>
    <s v="Paid Search"/>
    <s v="Free"/>
    <n v="1"/>
    <n v="0"/>
    <n v="0"/>
    <n v="0"/>
    <n v="0"/>
    <n v="0"/>
    <n v="0"/>
    <n v="0"/>
    <n v="48.4"/>
  </r>
  <r>
    <x v="256"/>
    <d v="2025-04-21T00:00:00"/>
    <x v="0"/>
    <s v="North"/>
    <s v="Mobile"/>
    <s v="Email"/>
    <s v="Free"/>
    <n v="1"/>
    <n v="0"/>
    <n v="0"/>
    <n v="0"/>
    <n v="0"/>
    <n v="0"/>
    <n v="0"/>
    <n v="0"/>
    <n v="58"/>
  </r>
  <r>
    <x v="257"/>
    <d v="2025-05-13T00:00:00"/>
    <x v="0"/>
    <s v="North"/>
    <s v="Mobile"/>
    <s v="Paid Search"/>
    <s v="Free"/>
    <n v="0"/>
    <n v="0"/>
    <n v="0"/>
    <n v="0"/>
    <n v="0"/>
    <n v="0"/>
    <n v="0"/>
    <n v="0"/>
    <n v="61.6"/>
  </r>
  <r>
    <x v="258"/>
    <d v="2025-01-28T00:00:00"/>
    <x v="0"/>
    <s v="East"/>
    <s v="Desktop"/>
    <s v="Organic"/>
    <s v="Free"/>
    <n v="1"/>
    <n v="0"/>
    <n v="0"/>
    <n v="0"/>
    <n v="0"/>
    <n v="0"/>
    <n v="0"/>
    <n v="0"/>
    <n v="43.2"/>
  </r>
  <r>
    <x v="259"/>
    <d v="2025-03-16T00:00:00"/>
    <x v="0"/>
    <s v="East"/>
    <s v="Desktop"/>
    <s v="Paid Search"/>
    <s v="Basic"/>
    <n v="1"/>
    <n v="0"/>
    <n v="0"/>
    <n v="0"/>
    <n v="0"/>
    <n v="1"/>
    <n v="0"/>
    <n v="0"/>
    <n v="53.3"/>
  </r>
  <r>
    <x v="260"/>
    <d v="2025-04-10T00:00:00"/>
    <x v="0"/>
    <s v="East"/>
    <s v="Desktop"/>
    <s v="Social"/>
    <s v="Basic"/>
    <n v="0"/>
    <n v="0"/>
    <n v="0"/>
    <n v="0"/>
    <n v="0"/>
    <n v="0"/>
    <n v="0"/>
    <n v="0"/>
    <n v="33.9"/>
  </r>
  <r>
    <x v="261"/>
    <d v="2025-03-15T00:00:00"/>
    <x v="0"/>
    <s v="East"/>
    <s v="Desktop"/>
    <s v="Referral"/>
    <s v="Free"/>
    <n v="1"/>
    <n v="1"/>
    <n v="1"/>
    <n v="0"/>
    <n v="0"/>
    <n v="0"/>
    <n v="0"/>
    <n v="0"/>
    <n v="35.4"/>
  </r>
  <r>
    <x v="262"/>
    <d v="2025-04-07T00:00:00"/>
    <x v="0"/>
    <s v="West"/>
    <s v="Desktop"/>
    <s v="Organic"/>
    <s v="Basic"/>
    <n v="1"/>
    <n v="0"/>
    <n v="0"/>
    <n v="0"/>
    <n v="0"/>
    <n v="0"/>
    <n v="0"/>
    <n v="0"/>
    <n v="45"/>
  </r>
  <r>
    <x v="263"/>
    <d v="2025-02-12T00:00:00"/>
    <x v="0"/>
    <s v="South"/>
    <s v="Mobile"/>
    <s v="Organic"/>
    <s v="Free"/>
    <n v="1"/>
    <n v="1"/>
    <n v="0"/>
    <n v="0"/>
    <n v="0"/>
    <n v="0"/>
    <n v="0"/>
    <n v="0"/>
    <n v="86.5"/>
  </r>
  <r>
    <x v="264"/>
    <d v="2025-05-05T00:00:00"/>
    <x v="0"/>
    <s v="West"/>
    <s v="Mobile"/>
    <s v="Social"/>
    <s v="Free"/>
    <n v="0"/>
    <n v="0"/>
    <n v="0"/>
    <n v="0"/>
    <n v="0"/>
    <n v="0"/>
    <n v="0"/>
    <n v="0"/>
    <n v="58.1"/>
  </r>
  <r>
    <x v="265"/>
    <d v="2025-03-11T00:00:00"/>
    <x v="0"/>
    <s v="West"/>
    <s v="Mobile"/>
    <s v="Referral"/>
    <s v="Free"/>
    <n v="1"/>
    <n v="0"/>
    <n v="0"/>
    <n v="0"/>
    <n v="0"/>
    <n v="0"/>
    <n v="0"/>
    <n v="0"/>
    <n v="36.1"/>
  </r>
  <r>
    <x v="266"/>
    <d v="2025-02-10T00:00:00"/>
    <x v="0"/>
    <s v="East"/>
    <s v="Mobile"/>
    <s v="Social"/>
    <s v="Free"/>
    <n v="0"/>
    <n v="0"/>
    <n v="0"/>
    <n v="0"/>
    <n v="0"/>
    <n v="0"/>
    <n v="0"/>
    <n v="0"/>
    <n v="62.8"/>
  </r>
  <r>
    <x v="267"/>
    <d v="2025-04-06T00:00:00"/>
    <x v="0"/>
    <s v="South"/>
    <s v="Mobile"/>
    <s v="Organic"/>
    <s v="Free"/>
    <n v="0"/>
    <n v="0"/>
    <n v="0"/>
    <n v="0"/>
    <n v="0"/>
    <n v="0"/>
    <n v="0"/>
    <n v="0"/>
    <n v="54.2"/>
  </r>
  <r>
    <x v="268"/>
    <d v="2025-01-06T00:00:00"/>
    <x v="0"/>
    <s v="East"/>
    <s v="Mobile"/>
    <s v="Referral"/>
    <s v="Free"/>
    <n v="0"/>
    <n v="0"/>
    <n v="0"/>
    <n v="0"/>
    <n v="0"/>
    <n v="0"/>
    <n v="0"/>
    <n v="0"/>
    <n v="50"/>
  </r>
  <r>
    <x v="269"/>
    <d v="2025-03-25T00:00:00"/>
    <x v="0"/>
    <s v="East"/>
    <s v="Tablet"/>
    <s v="Paid Search"/>
    <s v="Basic"/>
    <n v="1"/>
    <n v="0"/>
    <n v="0"/>
    <n v="0"/>
    <n v="0"/>
    <n v="0"/>
    <n v="0"/>
    <n v="0"/>
    <n v="62"/>
  </r>
  <r>
    <x v="270"/>
    <d v="2025-02-13T00:00:00"/>
    <x v="0"/>
    <s v="East"/>
    <s v="Desktop"/>
    <s v="Referral"/>
    <s v="Free"/>
    <n v="1"/>
    <n v="0"/>
    <n v="0"/>
    <n v="0"/>
    <n v="0"/>
    <n v="0"/>
    <n v="0"/>
    <n v="0"/>
    <n v="29.3"/>
  </r>
  <r>
    <x v="271"/>
    <d v="2025-03-17T00:00:00"/>
    <x v="0"/>
    <s v="West"/>
    <s v="Desktop"/>
    <s v="Organic"/>
    <s v="Free"/>
    <n v="1"/>
    <n v="0"/>
    <n v="0"/>
    <n v="0"/>
    <n v="0"/>
    <n v="0"/>
    <n v="0"/>
    <n v="0"/>
    <n v="67.900000000000006"/>
  </r>
  <r>
    <x v="272"/>
    <d v="2025-05-10T00:00:00"/>
    <x v="0"/>
    <s v="North"/>
    <s v="Mobile"/>
    <s v="Referral"/>
    <s v="Free"/>
    <n v="1"/>
    <n v="1"/>
    <n v="1"/>
    <n v="0"/>
    <n v="0"/>
    <n v="0"/>
    <n v="0"/>
    <n v="0"/>
    <n v="67.599999999999994"/>
  </r>
  <r>
    <x v="273"/>
    <d v="2025-05-07T00:00:00"/>
    <x v="0"/>
    <s v="South"/>
    <s v="Mobile"/>
    <s v="Paid Search"/>
    <s v="Basic"/>
    <n v="0"/>
    <n v="0"/>
    <n v="0"/>
    <n v="0"/>
    <n v="0"/>
    <n v="0"/>
    <n v="0"/>
    <n v="0"/>
    <n v="67.400000000000006"/>
  </r>
  <r>
    <x v="274"/>
    <d v="2025-02-26T00:00:00"/>
    <x v="0"/>
    <s v="West"/>
    <s v="Desktop"/>
    <s v="Paid Search"/>
    <s v="Premium"/>
    <n v="0"/>
    <n v="0"/>
    <n v="0"/>
    <n v="0"/>
    <n v="0"/>
    <n v="2"/>
    <n v="0"/>
    <n v="0"/>
    <n v="53"/>
  </r>
  <r>
    <x v="275"/>
    <d v="2025-05-11T00:00:00"/>
    <x v="0"/>
    <s v="North"/>
    <s v="Mobile"/>
    <s v="Organic"/>
    <s v="Basic"/>
    <n v="0"/>
    <n v="0"/>
    <n v="0"/>
    <n v="0"/>
    <n v="0"/>
    <n v="0"/>
    <n v="0"/>
    <n v="0"/>
    <n v="65.5"/>
  </r>
  <r>
    <x v="276"/>
    <d v="2025-03-20T00:00:00"/>
    <x v="0"/>
    <s v="South"/>
    <s v="Mobile"/>
    <s v="Organic"/>
    <s v="Basic"/>
    <n v="1"/>
    <n v="1"/>
    <n v="0"/>
    <n v="0"/>
    <n v="0"/>
    <n v="0"/>
    <n v="0"/>
    <n v="0"/>
    <n v="49.6"/>
  </r>
  <r>
    <x v="277"/>
    <d v="2025-01-19T00:00:00"/>
    <x v="0"/>
    <s v="North"/>
    <s v="Mobile"/>
    <s v="Email"/>
    <s v="Free"/>
    <n v="1"/>
    <n v="1"/>
    <n v="0"/>
    <n v="0"/>
    <n v="0"/>
    <n v="0"/>
    <n v="0"/>
    <n v="0"/>
    <n v="74.5"/>
  </r>
  <r>
    <x v="278"/>
    <d v="2025-03-08T00:00:00"/>
    <x v="0"/>
    <s v="North"/>
    <s v="Tablet"/>
    <s v="Paid Search"/>
    <s v="Premium"/>
    <n v="1"/>
    <n v="0"/>
    <n v="0"/>
    <n v="0"/>
    <n v="0"/>
    <n v="1"/>
    <n v="0"/>
    <n v="0"/>
    <n v="46.9"/>
  </r>
  <r>
    <x v="279"/>
    <d v="2025-04-25T00:00:00"/>
    <x v="0"/>
    <s v="North"/>
    <s v="Mobile"/>
    <s v="Organic"/>
    <s v="Free"/>
    <n v="0"/>
    <n v="0"/>
    <n v="0"/>
    <n v="0"/>
    <n v="0"/>
    <n v="0"/>
    <n v="0"/>
    <n v="0"/>
    <n v="87.1"/>
  </r>
  <r>
    <x v="280"/>
    <d v="2025-04-04T00:00:00"/>
    <x v="0"/>
    <s v="North"/>
    <s v="Desktop"/>
    <s v="Organic"/>
    <s v="Free"/>
    <n v="1"/>
    <n v="0"/>
    <n v="0"/>
    <n v="0"/>
    <n v="0"/>
    <n v="0"/>
    <n v="0"/>
    <n v="0"/>
    <n v="56"/>
  </r>
  <r>
    <x v="281"/>
    <d v="2025-05-01T00:00:00"/>
    <x v="0"/>
    <s v="East"/>
    <s v="Mobile"/>
    <s v="Paid Search"/>
    <s v="Premium"/>
    <n v="1"/>
    <n v="0"/>
    <n v="0"/>
    <n v="0"/>
    <n v="0"/>
    <n v="1"/>
    <n v="0"/>
    <n v="0"/>
    <n v="61.7"/>
  </r>
  <r>
    <x v="282"/>
    <d v="2025-01-21T00:00:00"/>
    <x v="0"/>
    <s v="South"/>
    <s v="Mobile"/>
    <s v="Social"/>
    <s v="Free"/>
    <n v="1"/>
    <n v="0"/>
    <n v="0"/>
    <n v="0"/>
    <n v="0"/>
    <n v="1"/>
    <n v="0"/>
    <n v="0"/>
    <n v="70.5"/>
  </r>
  <r>
    <x v="283"/>
    <d v="2025-02-10T00:00:00"/>
    <x v="0"/>
    <s v="North"/>
    <s v="Desktop"/>
    <s v="Referral"/>
    <s v="Basic"/>
    <n v="1"/>
    <n v="0"/>
    <n v="0"/>
    <n v="0"/>
    <n v="0"/>
    <n v="0"/>
    <n v="0"/>
    <n v="0"/>
    <n v="33.4"/>
  </r>
  <r>
    <x v="284"/>
    <d v="2025-05-06T00:00:00"/>
    <x v="0"/>
    <s v="South"/>
    <s v="Desktop"/>
    <s v="Organic"/>
    <s v="Free"/>
    <n v="1"/>
    <n v="0"/>
    <n v="0"/>
    <n v="0"/>
    <n v="0"/>
    <n v="0"/>
    <n v="0"/>
    <n v="0"/>
    <n v="57.5"/>
  </r>
  <r>
    <x v="285"/>
    <d v="2025-02-08T00:00:00"/>
    <x v="0"/>
    <s v="North"/>
    <s v="Desktop"/>
    <s v="Paid Search"/>
    <s v="Basic"/>
    <n v="1"/>
    <n v="1"/>
    <n v="0"/>
    <n v="0"/>
    <n v="0"/>
    <n v="0"/>
    <n v="0"/>
    <n v="0"/>
    <n v="85.7"/>
  </r>
  <r>
    <x v="286"/>
    <d v="2025-05-31T00:00:00"/>
    <x v="0"/>
    <s v="East"/>
    <s v="Mobile"/>
    <s v="Social"/>
    <s v="Free"/>
    <n v="1"/>
    <n v="0"/>
    <n v="0"/>
    <n v="0"/>
    <n v="0"/>
    <n v="0"/>
    <n v="0"/>
    <n v="0"/>
    <n v="41.9"/>
  </r>
  <r>
    <x v="287"/>
    <d v="2025-02-07T00:00:00"/>
    <x v="0"/>
    <s v="West"/>
    <s v="Mobile"/>
    <s v="Email"/>
    <s v="Basic"/>
    <n v="1"/>
    <n v="0"/>
    <n v="0"/>
    <n v="0"/>
    <n v="0"/>
    <n v="0"/>
    <n v="0"/>
    <n v="0"/>
    <n v="70.2"/>
  </r>
  <r>
    <x v="288"/>
    <d v="2025-02-10T00:00:00"/>
    <x v="0"/>
    <s v="North"/>
    <s v="Mobile"/>
    <s v="Social"/>
    <s v="Free"/>
    <n v="1"/>
    <n v="0"/>
    <n v="0"/>
    <n v="0"/>
    <n v="0"/>
    <n v="0"/>
    <n v="0"/>
    <n v="0"/>
    <n v="42.6"/>
  </r>
  <r>
    <x v="289"/>
    <d v="2025-01-31T00:00:00"/>
    <x v="0"/>
    <s v="West"/>
    <s v="Mobile"/>
    <s v="Social"/>
    <s v="Basic"/>
    <n v="0"/>
    <n v="0"/>
    <n v="0"/>
    <n v="0"/>
    <n v="0"/>
    <n v="2"/>
    <n v="0"/>
    <n v="0"/>
    <n v="30.4"/>
  </r>
  <r>
    <x v="290"/>
    <d v="2025-03-16T00:00:00"/>
    <x v="0"/>
    <s v="East"/>
    <s v="Mobile"/>
    <s v="Paid Search"/>
    <s v="Basic"/>
    <n v="1"/>
    <n v="0"/>
    <n v="0"/>
    <n v="0"/>
    <n v="0"/>
    <n v="0"/>
    <n v="0"/>
    <n v="0"/>
    <n v="63.7"/>
  </r>
  <r>
    <x v="291"/>
    <d v="2025-04-24T00:00:00"/>
    <x v="0"/>
    <s v="South"/>
    <s v="Mobile"/>
    <s v="Social"/>
    <s v="Basic"/>
    <n v="0"/>
    <n v="0"/>
    <n v="0"/>
    <n v="0"/>
    <n v="0"/>
    <n v="0"/>
    <n v="0"/>
    <n v="0"/>
    <n v="42.7"/>
  </r>
  <r>
    <x v="292"/>
    <d v="2025-01-28T00:00:00"/>
    <x v="0"/>
    <s v="North"/>
    <s v="Mobile"/>
    <s v="Organic"/>
    <s v="Free"/>
    <n v="0"/>
    <n v="0"/>
    <n v="0"/>
    <n v="0"/>
    <n v="0"/>
    <n v="0"/>
    <n v="0"/>
    <n v="0"/>
    <n v="74.3"/>
  </r>
  <r>
    <x v="293"/>
    <d v="2025-02-16T00:00:00"/>
    <x v="0"/>
    <s v="West"/>
    <s v="Desktop"/>
    <s v="Email"/>
    <s v="Free"/>
    <n v="1"/>
    <n v="0"/>
    <n v="0"/>
    <n v="0"/>
    <n v="0"/>
    <n v="0"/>
    <n v="0"/>
    <n v="0"/>
    <n v="40.6"/>
  </r>
  <r>
    <x v="294"/>
    <d v="2025-03-23T00:00:00"/>
    <x v="0"/>
    <s v="East"/>
    <s v="Mobile"/>
    <s v="Organic"/>
    <s v="Premium"/>
    <n v="0"/>
    <n v="0"/>
    <n v="0"/>
    <n v="0"/>
    <n v="0"/>
    <n v="0"/>
    <n v="0"/>
    <n v="0"/>
    <n v="67"/>
  </r>
  <r>
    <x v="295"/>
    <d v="2025-05-31T00:00:00"/>
    <x v="0"/>
    <s v="East"/>
    <s v="Mobile"/>
    <s v="Paid Search"/>
    <s v="Premium"/>
    <n v="0"/>
    <n v="0"/>
    <n v="0"/>
    <n v="0"/>
    <n v="0"/>
    <n v="0"/>
    <n v="0"/>
    <n v="0"/>
    <n v="51"/>
  </r>
  <r>
    <x v="296"/>
    <d v="2025-04-13T00:00:00"/>
    <x v="0"/>
    <s v="West"/>
    <s v="Mobile"/>
    <s v="Social"/>
    <s v="Basic"/>
    <n v="1"/>
    <n v="1"/>
    <n v="0"/>
    <n v="0"/>
    <n v="0"/>
    <n v="1"/>
    <n v="0"/>
    <n v="0"/>
    <n v="54.8"/>
  </r>
  <r>
    <x v="297"/>
    <d v="2025-05-14T00:00:00"/>
    <x v="0"/>
    <s v="North"/>
    <s v="Tablet"/>
    <s v="Email"/>
    <s v="Basic"/>
    <n v="0"/>
    <n v="0"/>
    <n v="0"/>
    <n v="0"/>
    <n v="0"/>
    <n v="0"/>
    <n v="0"/>
    <n v="0"/>
    <n v="40.799999999999997"/>
  </r>
  <r>
    <x v="298"/>
    <d v="2025-02-19T00:00:00"/>
    <x v="0"/>
    <s v="East"/>
    <s v="Mobile"/>
    <s v="Paid Search"/>
    <s v="Free"/>
    <n v="0"/>
    <n v="0"/>
    <n v="0"/>
    <n v="0"/>
    <n v="0"/>
    <n v="0"/>
    <n v="0"/>
    <n v="0"/>
    <n v="48.8"/>
  </r>
  <r>
    <x v="299"/>
    <d v="2025-01-24T00:00:00"/>
    <x v="0"/>
    <s v="South"/>
    <s v="Mobile"/>
    <s v="Unknown"/>
    <s v="Basic"/>
    <n v="1"/>
    <n v="1"/>
    <n v="1"/>
    <n v="1"/>
    <n v="1198.69"/>
    <n v="1"/>
    <n v="0"/>
    <n v="6"/>
    <n v="88.9"/>
  </r>
  <r>
    <x v="300"/>
    <d v="2025-05-09T00:00:00"/>
    <x v="0"/>
    <s v="North"/>
    <s v="Mobile"/>
    <s v="Email"/>
    <s v="Basic"/>
    <n v="1"/>
    <n v="1"/>
    <n v="1"/>
    <n v="0"/>
    <n v="0"/>
    <n v="1"/>
    <n v="0"/>
    <n v="0"/>
    <n v="60.5"/>
  </r>
  <r>
    <x v="301"/>
    <d v="2025-02-11T00:00:00"/>
    <x v="0"/>
    <s v="North"/>
    <s v="Mobile"/>
    <s v="Organic"/>
    <s v="Basic"/>
    <n v="1"/>
    <n v="0"/>
    <n v="0"/>
    <n v="0"/>
    <n v="0"/>
    <n v="0"/>
    <n v="0"/>
    <n v="0"/>
    <n v="63.6"/>
  </r>
  <r>
    <x v="302"/>
    <d v="2025-02-26T00:00:00"/>
    <x v="0"/>
    <s v="North"/>
    <s v="Desktop"/>
    <s v="Organic"/>
    <s v="Basic"/>
    <n v="1"/>
    <n v="1"/>
    <n v="1"/>
    <n v="1"/>
    <n v="6788.95"/>
    <n v="0"/>
    <n v="0"/>
    <n v="17"/>
    <n v="58.4"/>
  </r>
  <r>
    <x v="303"/>
    <d v="2025-02-12T00:00:00"/>
    <x v="0"/>
    <s v="South"/>
    <s v="Mobile"/>
    <s v="Social"/>
    <s v="Premium"/>
    <n v="0"/>
    <n v="0"/>
    <n v="0"/>
    <n v="0"/>
    <n v="0"/>
    <n v="0"/>
    <n v="0"/>
    <n v="0"/>
    <n v="52.7"/>
  </r>
  <r>
    <x v="304"/>
    <d v="2025-01-05T00:00:00"/>
    <x v="0"/>
    <s v="South"/>
    <s v="Tablet"/>
    <s v="Social"/>
    <s v="Premium"/>
    <n v="1"/>
    <n v="1"/>
    <n v="1"/>
    <n v="0"/>
    <n v="0"/>
    <n v="2"/>
    <n v="0"/>
    <n v="0"/>
    <n v="48.9"/>
  </r>
  <r>
    <x v="305"/>
    <d v="2025-05-19T00:00:00"/>
    <x v="0"/>
    <s v="West"/>
    <s v="Mobile"/>
    <s v="Organic"/>
    <s v="Premium"/>
    <n v="0"/>
    <n v="0"/>
    <n v="0"/>
    <n v="0"/>
    <n v="0"/>
    <n v="0"/>
    <n v="0"/>
    <n v="0"/>
    <n v="79.7"/>
  </r>
  <r>
    <x v="306"/>
    <d v="2025-02-02T00:00:00"/>
    <x v="0"/>
    <s v="North"/>
    <s v="Mobile"/>
    <s v="Social"/>
    <s v="Free"/>
    <n v="1"/>
    <n v="0"/>
    <n v="0"/>
    <n v="0"/>
    <n v="0"/>
    <n v="0"/>
    <n v="0"/>
    <n v="0"/>
    <n v="44.9"/>
  </r>
  <r>
    <x v="307"/>
    <d v="2025-01-30T00:00:00"/>
    <x v="0"/>
    <s v="West"/>
    <s v="Tablet"/>
    <s v="Paid Search"/>
    <s v="Free"/>
    <n v="1"/>
    <n v="1"/>
    <n v="1"/>
    <n v="1"/>
    <n v="409.39"/>
    <n v="0"/>
    <n v="0"/>
    <n v="10"/>
    <n v="38.799999999999997"/>
  </r>
  <r>
    <x v="308"/>
    <d v="2025-05-01T00:00:00"/>
    <x v="0"/>
    <s v="South"/>
    <s v="Desktop"/>
    <s v="Email"/>
    <s v="Free"/>
    <n v="0"/>
    <n v="0"/>
    <n v="0"/>
    <n v="0"/>
    <n v="0"/>
    <n v="0"/>
    <n v="0"/>
    <n v="0"/>
    <n v="70"/>
  </r>
  <r>
    <x v="309"/>
    <d v="2025-05-16T00:00:00"/>
    <x v="0"/>
    <s v="South"/>
    <s v="Desktop"/>
    <s v="Referral"/>
    <s v="Basic"/>
    <n v="1"/>
    <n v="0"/>
    <n v="0"/>
    <n v="0"/>
    <n v="0"/>
    <n v="0"/>
    <n v="0"/>
    <n v="0"/>
    <n v="77.7"/>
  </r>
  <r>
    <x v="310"/>
    <d v="2025-03-08T00:00:00"/>
    <x v="0"/>
    <s v="West"/>
    <s v="Mobile"/>
    <s v="Organic"/>
    <s v="Free"/>
    <n v="0"/>
    <n v="0"/>
    <n v="0"/>
    <n v="0"/>
    <n v="0"/>
    <n v="0"/>
    <n v="0"/>
    <n v="0"/>
    <n v="71.2"/>
  </r>
  <r>
    <x v="311"/>
    <d v="2025-04-04T00:00:00"/>
    <x v="0"/>
    <s v="North"/>
    <s v="Mobile"/>
    <s v="Organic"/>
    <s v="Basic"/>
    <n v="1"/>
    <n v="0"/>
    <n v="0"/>
    <n v="0"/>
    <n v="0"/>
    <n v="0"/>
    <n v="0"/>
    <n v="0"/>
    <n v="43.8"/>
  </r>
  <r>
    <x v="312"/>
    <d v="2025-05-30T00:00:00"/>
    <x v="0"/>
    <s v="South"/>
    <s v="Tablet"/>
    <s v="Organic"/>
    <s v="Free"/>
    <n v="1"/>
    <n v="0"/>
    <n v="0"/>
    <n v="0"/>
    <n v="0"/>
    <n v="0"/>
    <n v="0"/>
    <n v="0"/>
    <n v="50.9"/>
  </r>
  <r>
    <x v="313"/>
    <d v="2025-01-05T00:00:00"/>
    <x v="0"/>
    <s v="West"/>
    <s v="Mobile"/>
    <s v="Organic"/>
    <s v="Premium"/>
    <n v="0"/>
    <n v="0"/>
    <n v="0"/>
    <n v="0"/>
    <n v="0"/>
    <n v="0"/>
    <n v="0"/>
    <n v="0"/>
    <n v="58.5"/>
  </r>
  <r>
    <x v="314"/>
    <d v="2025-01-20T00:00:00"/>
    <x v="0"/>
    <s v="East"/>
    <s v="Mobile"/>
    <s v="Organic"/>
    <s v="Free"/>
    <n v="1"/>
    <n v="1"/>
    <n v="1"/>
    <n v="0"/>
    <n v="0"/>
    <n v="0"/>
    <n v="0"/>
    <n v="0"/>
    <n v="53.6"/>
  </r>
  <r>
    <x v="315"/>
    <d v="2025-05-01T00:00:00"/>
    <x v="0"/>
    <s v="East"/>
    <s v="Mobile"/>
    <s v="Email"/>
    <s v="Free"/>
    <n v="0"/>
    <n v="0"/>
    <n v="0"/>
    <n v="0"/>
    <n v="0"/>
    <n v="0"/>
    <n v="0"/>
    <n v="0"/>
    <n v="54.9"/>
  </r>
  <r>
    <x v="316"/>
    <d v="2025-03-05T00:00:00"/>
    <x v="0"/>
    <s v="North"/>
    <s v="Desktop"/>
    <s v="Organic"/>
    <s v="Premium"/>
    <n v="0"/>
    <n v="0"/>
    <n v="0"/>
    <n v="0"/>
    <n v="0"/>
    <n v="0"/>
    <n v="0"/>
    <n v="0"/>
    <n v="57.3"/>
  </r>
  <r>
    <x v="317"/>
    <d v="2025-04-01T00:00:00"/>
    <x v="0"/>
    <s v="East"/>
    <s v="Desktop"/>
    <s v="Referral"/>
    <s v="Free"/>
    <n v="1"/>
    <n v="0"/>
    <n v="0"/>
    <n v="0"/>
    <n v="0"/>
    <n v="0"/>
    <n v="0"/>
    <n v="0"/>
    <n v="52.1"/>
  </r>
  <r>
    <x v="318"/>
    <d v="2025-05-03T00:00:00"/>
    <x v="0"/>
    <s v="North"/>
    <s v="Mobile"/>
    <s v="Organic"/>
    <s v="Free"/>
    <n v="1"/>
    <n v="0"/>
    <n v="0"/>
    <n v="0"/>
    <n v="0"/>
    <n v="0"/>
    <n v="0"/>
    <n v="0"/>
    <n v="80"/>
  </r>
  <r>
    <x v="319"/>
    <d v="2025-03-06T00:00:00"/>
    <x v="0"/>
    <s v="South"/>
    <s v="Desktop"/>
    <s v="Paid Search"/>
    <s v="Premium"/>
    <n v="1"/>
    <n v="0"/>
    <n v="0"/>
    <n v="0"/>
    <n v="0"/>
    <n v="0"/>
    <n v="0"/>
    <n v="0"/>
    <n v="39.299999999999997"/>
  </r>
  <r>
    <x v="320"/>
    <d v="2025-04-01T00:00:00"/>
    <x v="0"/>
    <s v="North"/>
    <s v="Desktop"/>
    <s v="Referral"/>
    <s v="Premium"/>
    <n v="0"/>
    <n v="0"/>
    <n v="0"/>
    <n v="0"/>
    <n v="0"/>
    <n v="0"/>
    <n v="0"/>
    <n v="0"/>
    <n v="45.7"/>
  </r>
  <r>
    <x v="321"/>
    <d v="2025-02-09T00:00:00"/>
    <x v="0"/>
    <s v="North"/>
    <s v="Desktop"/>
    <s v="Social"/>
    <s v="Basic"/>
    <n v="1"/>
    <n v="0"/>
    <n v="0"/>
    <n v="0"/>
    <n v="0"/>
    <n v="2"/>
    <n v="0"/>
    <n v="0"/>
    <n v="61.2"/>
  </r>
  <r>
    <x v="322"/>
    <d v="2025-04-12T00:00:00"/>
    <x v="0"/>
    <s v="West"/>
    <s v="Mobile"/>
    <s v="Organic"/>
    <s v="Basic"/>
    <n v="1"/>
    <n v="1"/>
    <n v="0"/>
    <n v="0"/>
    <n v="0"/>
    <n v="0"/>
    <n v="0"/>
    <n v="0"/>
    <n v="66.2"/>
  </r>
  <r>
    <x v="323"/>
    <d v="2025-03-18T00:00:00"/>
    <x v="0"/>
    <s v="East"/>
    <s v="Mobile"/>
    <s v="Social"/>
    <s v="Free"/>
    <n v="1"/>
    <n v="1"/>
    <n v="1"/>
    <n v="0"/>
    <n v="0"/>
    <n v="0"/>
    <n v="0"/>
    <n v="0"/>
    <n v="61.3"/>
  </r>
  <r>
    <x v="324"/>
    <d v="2025-04-03T00:00:00"/>
    <x v="0"/>
    <s v="East"/>
    <s v="Mobile"/>
    <s v="Paid Search"/>
    <s v="Free"/>
    <n v="1"/>
    <n v="0"/>
    <n v="0"/>
    <n v="0"/>
    <n v="0"/>
    <n v="0"/>
    <n v="0"/>
    <n v="0"/>
    <n v="72.2"/>
  </r>
  <r>
    <x v="325"/>
    <d v="2025-04-02T00:00:00"/>
    <x v="0"/>
    <s v="West"/>
    <s v="Mobile"/>
    <s v="Email"/>
    <s v="Premium"/>
    <n v="1"/>
    <n v="1"/>
    <n v="1"/>
    <n v="0"/>
    <n v="0"/>
    <n v="0"/>
    <n v="0"/>
    <n v="0"/>
    <n v="84"/>
  </r>
  <r>
    <x v="326"/>
    <d v="2025-05-10T00:00:00"/>
    <x v="0"/>
    <s v="West"/>
    <s v="Desktop"/>
    <s v="Email"/>
    <s v="Basic"/>
    <n v="0"/>
    <n v="0"/>
    <n v="0"/>
    <n v="0"/>
    <n v="0"/>
    <n v="0"/>
    <n v="0"/>
    <n v="0"/>
    <n v="59.8"/>
  </r>
  <r>
    <x v="327"/>
    <d v="2025-04-29T00:00:00"/>
    <x v="0"/>
    <s v="West"/>
    <s v="Desktop"/>
    <s v="Paid Search"/>
    <s v="Free"/>
    <n v="1"/>
    <n v="0"/>
    <n v="0"/>
    <n v="0"/>
    <n v="0"/>
    <n v="0"/>
    <n v="0"/>
    <n v="0"/>
    <n v="64.900000000000006"/>
  </r>
  <r>
    <x v="328"/>
    <d v="2025-02-27T00:00:00"/>
    <x v="0"/>
    <s v="South"/>
    <s v="Mobile"/>
    <s v="Paid Search"/>
    <s v="Free"/>
    <n v="1"/>
    <n v="0"/>
    <n v="0"/>
    <n v="0"/>
    <n v="0"/>
    <n v="0"/>
    <n v="0"/>
    <n v="0"/>
    <n v="66.8"/>
  </r>
  <r>
    <x v="329"/>
    <d v="2025-04-10T00:00:00"/>
    <x v="0"/>
    <s v="North"/>
    <s v="Desktop"/>
    <s v="Organic"/>
    <s v="Premium"/>
    <n v="0"/>
    <n v="0"/>
    <n v="0"/>
    <n v="0"/>
    <n v="0"/>
    <n v="0"/>
    <n v="0"/>
    <n v="0"/>
    <n v="70.900000000000006"/>
  </r>
  <r>
    <x v="330"/>
    <d v="2025-02-13T00:00:00"/>
    <x v="0"/>
    <s v="East"/>
    <s v="Mobile"/>
    <s v="Organic"/>
    <s v="Free"/>
    <n v="1"/>
    <n v="1"/>
    <n v="1"/>
    <n v="1"/>
    <n v="426.82"/>
    <n v="1"/>
    <n v="0"/>
    <n v="14"/>
    <n v="68.8"/>
  </r>
  <r>
    <x v="331"/>
    <d v="2025-05-03T00:00:00"/>
    <x v="0"/>
    <s v="North"/>
    <s v="Mobile"/>
    <s v="Organic"/>
    <s v="Basic"/>
    <n v="1"/>
    <n v="0"/>
    <n v="0"/>
    <n v="0"/>
    <n v="0"/>
    <n v="0"/>
    <n v="0"/>
    <n v="0"/>
    <n v="72.400000000000006"/>
  </r>
  <r>
    <x v="332"/>
    <d v="2025-03-10T00:00:00"/>
    <x v="0"/>
    <s v="East"/>
    <s v="Mobile"/>
    <s v="Organic"/>
    <s v="Basic"/>
    <n v="0"/>
    <n v="0"/>
    <n v="0"/>
    <n v="0"/>
    <n v="0"/>
    <n v="0"/>
    <n v="0"/>
    <n v="0"/>
    <n v="63.3"/>
  </r>
  <r>
    <x v="333"/>
    <d v="2025-01-10T00:00:00"/>
    <x v="0"/>
    <s v="West"/>
    <s v="Tablet"/>
    <s v="Social"/>
    <s v="Free"/>
    <n v="1"/>
    <n v="0"/>
    <n v="0"/>
    <n v="0"/>
    <n v="0"/>
    <n v="0"/>
    <n v="0"/>
    <n v="0"/>
    <n v="30.8"/>
  </r>
  <r>
    <x v="334"/>
    <d v="2025-01-16T00:00:00"/>
    <x v="0"/>
    <s v="South"/>
    <s v="Mobile"/>
    <s v="Email"/>
    <s v="Basic"/>
    <n v="1"/>
    <n v="1"/>
    <n v="1"/>
    <n v="1"/>
    <n v="874.55"/>
    <n v="0"/>
    <n v="0"/>
    <n v="9"/>
    <n v="44.2"/>
  </r>
  <r>
    <x v="335"/>
    <d v="2025-02-11T00:00:00"/>
    <x v="0"/>
    <s v="South"/>
    <s v="Desktop"/>
    <s v="Organic"/>
    <s v="Premium"/>
    <n v="1"/>
    <n v="1"/>
    <n v="1"/>
    <n v="1"/>
    <n v="2206.88"/>
    <n v="0"/>
    <n v="0"/>
    <n v="10"/>
    <n v="56.2"/>
  </r>
  <r>
    <x v="336"/>
    <d v="2025-04-13T00:00:00"/>
    <x v="0"/>
    <s v="West"/>
    <s v="Mobile"/>
    <s v="Organic"/>
    <s v="Free"/>
    <n v="0"/>
    <n v="0"/>
    <n v="0"/>
    <n v="0"/>
    <n v="0"/>
    <n v="0"/>
    <n v="0"/>
    <n v="0"/>
    <n v="40.4"/>
  </r>
  <r>
    <x v="337"/>
    <d v="2025-02-08T00:00:00"/>
    <x v="0"/>
    <s v="East"/>
    <s v="Mobile"/>
    <s v="Paid Search"/>
    <s v="Free"/>
    <n v="1"/>
    <n v="1"/>
    <n v="1"/>
    <n v="0"/>
    <n v="0"/>
    <n v="0"/>
    <n v="0"/>
    <n v="0"/>
    <n v="68.099999999999994"/>
  </r>
  <r>
    <x v="338"/>
    <d v="2025-03-31T00:00:00"/>
    <x v="0"/>
    <s v="West"/>
    <s v="Desktop"/>
    <s v="Referral"/>
    <s v="Free"/>
    <n v="1"/>
    <n v="0"/>
    <n v="0"/>
    <n v="0"/>
    <n v="0"/>
    <n v="0"/>
    <n v="0"/>
    <n v="0"/>
    <n v="86.3"/>
  </r>
  <r>
    <x v="339"/>
    <d v="2025-01-31T00:00:00"/>
    <x v="0"/>
    <s v="West"/>
    <s v="Desktop"/>
    <s v="Referral"/>
    <s v="Free"/>
    <n v="1"/>
    <n v="1"/>
    <n v="0"/>
    <n v="0"/>
    <n v="0"/>
    <n v="0"/>
    <n v="0"/>
    <n v="0"/>
    <n v="42.9"/>
  </r>
  <r>
    <x v="340"/>
    <d v="2025-05-08T00:00:00"/>
    <x v="0"/>
    <s v="West"/>
    <s v="Tablet"/>
    <s v="Organic"/>
    <s v="Free"/>
    <n v="0"/>
    <n v="0"/>
    <n v="0"/>
    <n v="0"/>
    <n v="0"/>
    <n v="0"/>
    <n v="0"/>
    <n v="0"/>
    <n v="61.4"/>
  </r>
  <r>
    <x v="341"/>
    <d v="2025-03-15T00:00:00"/>
    <x v="0"/>
    <s v="North"/>
    <s v="Mobile"/>
    <s v="Paid Search"/>
    <s v="Free"/>
    <n v="1"/>
    <n v="0"/>
    <n v="0"/>
    <n v="0"/>
    <n v="0"/>
    <n v="1"/>
    <n v="0"/>
    <n v="0"/>
    <n v="73.3"/>
  </r>
  <r>
    <x v="342"/>
    <d v="2025-01-13T00:00:00"/>
    <x v="0"/>
    <s v="South"/>
    <s v="Mobile"/>
    <s v="Referral"/>
    <s v="Basic"/>
    <n v="1"/>
    <n v="0"/>
    <n v="0"/>
    <n v="0"/>
    <n v="0"/>
    <n v="0"/>
    <n v="0"/>
    <n v="0"/>
    <n v="59.4"/>
  </r>
  <r>
    <x v="343"/>
    <d v="2025-03-07T00:00:00"/>
    <x v="0"/>
    <s v="South"/>
    <s v="Tablet"/>
    <s v="Organic"/>
    <s v="Basic"/>
    <n v="1"/>
    <n v="0"/>
    <n v="0"/>
    <n v="0"/>
    <n v="0"/>
    <n v="0"/>
    <n v="0"/>
    <n v="0"/>
    <n v="35.200000000000003"/>
  </r>
  <r>
    <x v="344"/>
    <d v="2025-02-10T00:00:00"/>
    <x v="0"/>
    <s v="South"/>
    <s v="Mobile"/>
    <s v="Social"/>
    <s v="Premium"/>
    <n v="1"/>
    <n v="1"/>
    <n v="0"/>
    <n v="0"/>
    <n v="0"/>
    <n v="0"/>
    <n v="0"/>
    <n v="0"/>
    <n v="55.3"/>
  </r>
  <r>
    <x v="345"/>
    <d v="2025-03-12T00:00:00"/>
    <x v="0"/>
    <s v="East"/>
    <s v="Mobile"/>
    <s v="Paid Search"/>
    <s v="Free"/>
    <n v="0"/>
    <n v="0"/>
    <n v="0"/>
    <n v="0"/>
    <n v="0"/>
    <n v="0"/>
    <n v="0"/>
    <n v="0"/>
    <n v="37.5"/>
  </r>
  <r>
    <x v="346"/>
    <d v="2025-01-03T00:00:00"/>
    <x v="0"/>
    <s v="South"/>
    <s v="Desktop"/>
    <s v="Paid Search"/>
    <s v="Free"/>
    <n v="0"/>
    <n v="0"/>
    <n v="0"/>
    <n v="0"/>
    <n v="0"/>
    <n v="1"/>
    <n v="0"/>
    <n v="0"/>
    <n v="66.400000000000006"/>
  </r>
  <r>
    <x v="347"/>
    <d v="2025-04-28T00:00:00"/>
    <x v="0"/>
    <s v="North"/>
    <s v="Tablet"/>
    <s v="Social"/>
    <s v="Basic"/>
    <n v="1"/>
    <n v="0"/>
    <n v="0"/>
    <n v="0"/>
    <n v="0"/>
    <n v="0"/>
    <n v="0"/>
    <n v="0"/>
    <n v="61.9"/>
  </r>
  <r>
    <x v="348"/>
    <d v="2025-04-17T00:00:00"/>
    <x v="0"/>
    <s v="East"/>
    <s v="Mobile"/>
    <s v="Organic"/>
    <s v="Free"/>
    <n v="0"/>
    <n v="0"/>
    <n v="0"/>
    <n v="0"/>
    <n v="0"/>
    <n v="0"/>
    <n v="0"/>
    <n v="0"/>
    <n v="56"/>
  </r>
  <r>
    <x v="349"/>
    <d v="2025-05-23T00:00:00"/>
    <x v="0"/>
    <s v="South"/>
    <s v="Desktop"/>
    <s v="Social"/>
    <s v="Basic"/>
    <n v="1"/>
    <n v="0"/>
    <n v="0"/>
    <n v="0"/>
    <n v="0"/>
    <n v="0"/>
    <n v="0"/>
    <n v="0"/>
    <n v="55.5"/>
  </r>
  <r>
    <x v="350"/>
    <d v="2025-02-19T00:00:00"/>
    <x v="0"/>
    <s v="West"/>
    <s v="Tablet"/>
    <s v="Referral"/>
    <s v="Basic"/>
    <n v="1"/>
    <n v="0"/>
    <n v="0"/>
    <n v="0"/>
    <n v="0"/>
    <n v="0"/>
    <n v="0"/>
    <n v="0"/>
    <n v="37.200000000000003"/>
  </r>
  <r>
    <x v="351"/>
    <d v="2025-01-18T00:00:00"/>
    <x v="0"/>
    <s v="South"/>
    <s v="Desktop"/>
    <s v="Organic"/>
    <s v="Free"/>
    <n v="1"/>
    <n v="1"/>
    <n v="0"/>
    <n v="0"/>
    <n v="0"/>
    <n v="1"/>
    <n v="0"/>
    <n v="0"/>
    <n v="70.5"/>
  </r>
  <r>
    <x v="352"/>
    <d v="2025-04-17T00:00:00"/>
    <x v="0"/>
    <s v="North"/>
    <s v="Mobile"/>
    <s v="Organic"/>
    <s v="Free"/>
    <n v="0"/>
    <n v="0"/>
    <n v="0"/>
    <n v="0"/>
    <n v="0"/>
    <n v="0"/>
    <n v="0"/>
    <n v="0"/>
    <n v="61.2"/>
  </r>
  <r>
    <x v="353"/>
    <d v="2025-04-12T00:00:00"/>
    <x v="0"/>
    <s v="East"/>
    <s v="Tablet"/>
    <s v="Social"/>
    <s v="Free"/>
    <n v="1"/>
    <n v="1"/>
    <n v="1"/>
    <n v="0"/>
    <n v="0"/>
    <n v="0"/>
    <n v="0"/>
    <n v="0"/>
    <n v="64.599999999999994"/>
  </r>
  <r>
    <x v="354"/>
    <d v="2025-05-16T00:00:00"/>
    <x v="0"/>
    <s v="East"/>
    <s v="Mobile"/>
    <s v="Email"/>
    <s v="Free"/>
    <n v="1"/>
    <n v="1"/>
    <n v="0"/>
    <n v="0"/>
    <n v="0"/>
    <n v="0"/>
    <n v="0"/>
    <n v="0"/>
    <n v="91.7"/>
  </r>
  <r>
    <x v="355"/>
    <d v="2025-03-24T00:00:00"/>
    <x v="0"/>
    <s v="West"/>
    <s v="Mobile"/>
    <s v="Social"/>
    <s v="Free"/>
    <n v="0"/>
    <n v="0"/>
    <n v="0"/>
    <n v="0"/>
    <n v="0"/>
    <n v="0"/>
    <n v="0"/>
    <n v="0"/>
    <n v="46"/>
  </r>
  <r>
    <x v="356"/>
    <d v="2025-02-16T00:00:00"/>
    <x v="0"/>
    <s v="West"/>
    <s v="Mobile"/>
    <s v="Organic"/>
    <s v="Basic"/>
    <n v="0"/>
    <n v="0"/>
    <n v="0"/>
    <n v="0"/>
    <n v="0"/>
    <n v="0"/>
    <n v="0"/>
    <n v="0"/>
    <n v="50.8"/>
  </r>
  <r>
    <x v="357"/>
    <d v="2025-03-19T00:00:00"/>
    <x v="0"/>
    <s v="North"/>
    <s v="Tablet"/>
    <s v="Organic"/>
    <s v="Free"/>
    <n v="1"/>
    <n v="1"/>
    <n v="1"/>
    <n v="0"/>
    <n v="0"/>
    <n v="0"/>
    <n v="0"/>
    <n v="0"/>
    <n v="52.8"/>
  </r>
  <r>
    <x v="358"/>
    <d v="2025-04-21T00:00:00"/>
    <x v="0"/>
    <s v="South"/>
    <s v="Mobile"/>
    <s v="Organic"/>
    <s v="Basic"/>
    <n v="1"/>
    <n v="1"/>
    <n v="1"/>
    <n v="0"/>
    <n v="0"/>
    <n v="0"/>
    <n v="0"/>
    <n v="0"/>
    <n v="63"/>
  </r>
  <r>
    <x v="359"/>
    <d v="2025-01-11T00:00:00"/>
    <x v="0"/>
    <s v="West"/>
    <s v="Mobile"/>
    <s v="Organic"/>
    <s v="Free"/>
    <n v="0"/>
    <n v="0"/>
    <n v="0"/>
    <n v="0"/>
    <n v="0"/>
    <n v="0"/>
    <n v="0"/>
    <n v="0"/>
    <n v="28.4"/>
  </r>
  <r>
    <x v="360"/>
    <d v="2025-04-24T00:00:00"/>
    <x v="0"/>
    <s v="West"/>
    <s v="Desktop"/>
    <s v="Organic"/>
    <s v="Free"/>
    <n v="1"/>
    <n v="1"/>
    <n v="0"/>
    <n v="0"/>
    <n v="0"/>
    <n v="0"/>
    <n v="0"/>
    <n v="0"/>
    <n v="65.599999999999994"/>
  </r>
  <r>
    <x v="361"/>
    <d v="2025-03-13T00:00:00"/>
    <x v="0"/>
    <s v="North"/>
    <s v="Mobile"/>
    <s v="Social"/>
    <s v="Premium"/>
    <n v="1"/>
    <n v="1"/>
    <n v="1"/>
    <n v="0"/>
    <n v="0"/>
    <n v="0"/>
    <n v="0"/>
    <n v="0"/>
    <n v="54.7"/>
  </r>
  <r>
    <x v="362"/>
    <d v="2025-01-30T00:00:00"/>
    <x v="0"/>
    <s v="North"/>
    <s v="Mobile"/>
    <s v="Social"/>
    <s v="Basic"/>
    <n v="0"/>
    <n v="0"/>
    <n v="0"/>
    <n v="0"/>
    <n v="0"/>
    <n v="0"/>
    <n v="0"/>
    <n v="0"/>
    <n v="36.1"/>
  </r>
  <r>
    <x v="363"/>
    <d v="2025-05-08T00:00:00"/>
    <x v="0"/>
    <s v="South"/>
    <s v="Mobile"/>
    <s v="Social"/>
    <s v="Basic"/>
    <n v="1"/>
    <n v="1"/>
    <n v="1"/>
    <n v="0"/>
    <n v="0"/>
    <n v="0"/>
    <n v="0"/>
    <n v="0"/>
    <n v="70.400000000000006"/>
  </r>
  <r>
    <x v="364"/>
    <d v="2025-01-08T00:00:00"/>
    <x v="0"/>
    <s v="East"/>
    <s v="Desktop"/>
    <s v="Social"/>
    <s v="Free"/>
    <n v="1"/>
    <n v="0"/>
    <n v="0"/>
    <n v="0"/>
    <n v="0"/>
    <n v="0"/>
    <n v="0"/>
    <n v="0"/>
    <n v="56.4"/>
  </r>
  <r>
    <x v="365"/>
    <d v="2025-05-03T00:00:00"/>
    <x v="0"/>
    <s v="South"/>
    <s v="Mobile"/>
    <s v="Organic"/>
    <s v="Free"/>
    <n v="1"/>
    <n v="0"/>
    <n v="0"/>
    <n v="0"/>
    <n v="0"/>
    <n v="0"/>
    <n v="0"/>
    <n v="0"/>
    <n v="79.2"/>
  </r>
  <r>
    <x v="366"/>
    <d v="2025-02-12T00:00:00"/>
    <x v="0"/>
    <s v="East"/>
    <s v="Mobile"/>
    <s v="Paid Search"/>
    <s v="Free"/>
    <n v="1"/>
    <n v="1"/>
    <n v="1"/>
    <n v="0"/>
    <n v="0"/>
    <n v="0"/>
    <n v="0"/>
    <n v="0"/>
    <n v="60.1"/>
  </r>
  <r>
    <x v="367"/>
    <d v="2025-02-25T00:00:00"/>
    <x v="0"/>
    <s v="South"/>
    <s v="Tablet"/>
    <s v="Organic"/>
    <s v="Free"/>
    <n v="0"/>
    <n v="0"/>
    <n v="0"/>
    <n v="0"/>
    <n v="0"/>
    <n v="0"/>
    <n v="0"/>
    <n v="0"/>
    <n v="58"/>
  </r>
  <r>
    <x v="368"/>
    <d v="2025-04-14T00:00:00"/>
    <x v="0"/>
    <s v="South"/>
    <s v="Mobile"/>
    <s v="Referral"/>
    <s v="Free"/>
    <n v="1"/>
    <n v="1"/>
    <n v="1"/>
    <n v="0"/>
    <n v="0"/>
    <n v="0"/>
    <n v="0"/>
    <n v="0"/>
    <n v="69"/>
  </r>
  <r>
    <x v="369"/>
    <d v="2025-01-08T00:00:00"/>
    <x v="0"/>
    <s v="North"/>
    <s v="Mobile"/>
    <s v="Referral"/>
    <s v="Premium"/>
    <n v="1"/>
    <n v="1"/>
    <n v="1"/>
    <n v="0"/>
    <n v="0"/>
    <n v="1"/>
    <n v="0"/>
    <n v="0"/>
    <n v="80.8"/>
  </r>
  <r>
    <x v="370"/>
    <d v="2025-03-14T00:00:00"/>
    <x v="0"/>
    <s v="East"/>
    <s v="Mobile"/>
    <s v="Email"/>
    <s v="Free"/>
    <n v="0"/>
    <n v="0"/>
    <n v="0"/>
    <n v="0"/>
    <n v="0"/>
    <n v="0"/>
    <n v="0"/>
    <n v="0"/>
    <n v="32.799999999999997"/>
  </r>
  <r>
    <x v="371"/>
    <d v="2025-04-29T00:00:00"/>
    <x v="0"/>
    <s v="North"/>
    <s v="Desktop"/>
    <s v="Paid Search"/>
    <s v="Premium"/>
    <n v="1"/>
    <n v="0"/>
    <n v="0"/>
    <n v="0"/>
    <n v="0"/>
    <n v="0"/>
    <n v="0"/>
    <n v="0"/>
    <n v="56"/>
  </r>
  <r>
    <x v="372"/>
    <d v="2025-05-01T00:00:00"/>
    <x v="0"/>
    <s v="East"/>
    <s v="Desktop"/>
    <s v="Social"/>
    <s v="Free"/>
    <n v="1"/>
    <n v="0"/>
    <n v="0"/>
    <n v="0"/>
    <n v="0"/>
    <n v="0"/>
    <n v="0"/>
    <n v="0"/>
    <n v="76.400000000000006"/>
  </r>
  <r>
    <x v="373"/>
    <d v="2025-03-19T00:00:00"/>
    <x v="0"/>
    <s v="North"/>
    <s v="Mobile"/>
    <s v="Referral"/>
    <s v="Free"/>
    <n v="1"/>
    <n v="0"/>
    <n v="0"/>
    <n v="0"/>
    <n v="0"/>
    <n v="0"/>
    <n v="0"/>
    <n v="0"/>
    <n v="28.5"/>
  </r>
  <r>
    <x v="374"/>
    <d v="2025-05-01T00:00:00"/>
    <x v="0"/>
    <s v="South"/>
    <s v="Desktop"/>
    <s v="Social"/>
    <s v="Basic"/>
    <n v="1"/>
    <n v="1"/>
    <n v="1"/>
    <n v="0"/>
    <n v="0"/>
    <n v="0"/>
    <n v="0"/>
    <n v="0"/>
    <n v="48.3"/>
  </r>
  <r>
    <x v="375"/>
    <d v="2025-03-14T00:00:00"/>
    <x v="0"/>
    <s v="West"/>
    <s v="Mobile"/>
    <s v="Organic"/>
    <s v="Free"/>
    <n v="1"/>
    <n v="1"/>
    <n v="0"/>
    <n v="0"/>
    <n v="0"/>
    <n v="0"/>
    <n v="0"/>
    <n v="0"/>
    <n v="43.4"/>
  </r>
  <r>
    <x v="376"/>
    <d v="2025-03-23T00:00:00"/>
    <x v="0"/>
    <s v="North"/>
    <s v="Mobile"/>
    <s v="Paid Search"/>
    <s v="Free"/>
    <n v="0"/>
    <n v="0"/>
    <n v="0"/>
    <n v="0"/>
    <n v="0"/>
    <n v="0"/>
    <n v="0"/>
    <n v="0"/>
    <n v="43"/>
  </r>
  <r>
    <x v="377"/>
    <d v="2025-02-08T00:00:00"/>
    <x v="0"/>
    <s v="East"/>
    <s v="Mobile"/>
    <s v="Referral"/>
    <s v="Basic"/>
    <n v="1"/>
    <n v="1"/>
    <n v="1"/>
    <n v="0"/>
    <n v="0"/>
    <n v="0"/>
    <n v="0"/>
    <n v="0"/>
    <n v="91.8"/>
  </r>
  <r>
    <x v="378"/>
    <d v="2025-04-15T00:00:00"/>
    <x v="0"/>
    <s v="West"/>
    <s v="Tablet"/>
    <s v="Paid Search"/>
    <s v="Basic"/>
    <n v="1"/>
    <n v="0"/>
    <n v="0"/>
    <n v="0"/>
    <n v="0"/>
    <n v="1"/>
    <n v="0"/>
    <n v="0"/>
    <n v="69.3"/>
  </r>
  <r>
    <x v="379"/>
    <d v="2025-01-03T00:00:00"/>
    <x v="0"/>
    <s v="South"/>
    <s v="Desktop"/>
    <s v="Paid Search"/>
    <s v="Basic"/>
    <n v="1"/>
    <n v="0"/>
    <n v="0"/>
    <n v="0"/>
    <n v="0"/>
    <n v="0"/>
    <n v="0"/>
    <n v="0"/>
    <n v="58.9"/>
  </r>
  <r>
    <x v="380"/>
    <d v="2025-03-23T00:00:00"/>
    <x v="0"/>
    <s v="West"/>
    <s v="Mobile"/>
    <s v="Social"/>
    <s v="Free"/>
    <n v="1"/>
    <n v="1"/>
    <n v="1"/>
    <n v="0"/>
    <n v="0"/>
    <n v="0"/>
    <n v="0"/>
    <n v="0"/>
    <n v="76"/>
  </r>
  <r>
    <x v="381"/>
    <d v="2025-05-27T00:00:00"/>
    <x v="0"/>
    <s v="South"/>
    <s v="Mobile"/>
    <s v="Referral"/>
    <s v="Premium"/>
    <n v="1"/>
    <n v="0"/>
    <n v="0"/>
    <n v="0"/>
    <n v="0"/>
    <n v="0"/>
    <n v="0"/>
    <n v="0"/>
    <n v="46"/>
  </r>
  <r>
    <x v="382"/>
    <d v="2025-04-30T00:00:00"/>
    <x v="0"/>
    <s v="East"/>
    <s v="Mobile"/>
    <s v="Organic"/>
    <s v="Free"/>
    <n v="1"/>
    <n v="0"/>
    <n v="0"/>
    <n v="0"/>
    <n v="0"/>
    <n v="0"/>
    <n v="0"/>
    <n v="0"/>
    <n v="54.1"/>
  </r>
  <r>
    <x v="383"/>
    <d v="2025-03-07T00:00:00"/>
    <x v="0"/>
    <s v="West"/>
    <s v="Mobile"/>
    <s v="Social"/>
    <s v="Basic"/>
    <n v="1"/>
    <n v="0"/>
    <n v="0"/>
    <n v="0"/>
    <n v="0"/>
    <n v="0"/>
    <n v="0"/>
    <n v="0"/>
    <n v="82.4"/>
  </r>
  <r>
    <x v="384"/>
    <d v="2025-05-10T00:00:00"/>
    <x v="0"/>
    <s v="South"/>
    <s v="Mobile"/>
    <s v="Organic"/>
    <s v="Basic"/>
    <n v="1"/>
    <n v="1"/>
    <n v="1"/>
    <n v="0"/>
    <n v="0"/>
    <n v="0"/>
    <n v="0"/>
    <n v="0"/>
    <n v="71.900000000000006"/>
  </r>
  <r>
    <x v="385"/>
    <d v="2025-05-22T00:00:00"/>
    <x v="0"/>
    <s v="East"/>
    <s v="Mobile"/>
    <s v="Organic"/>
    <s v="Free"/>
    <n v="0"/>
    <n v="0"/>
    <n v="0"/>
    <n v="0"/>
    <n v="0"/>
    <n v="2"/>
    <n v="0"/>
    <n v="0"/>
    <n v="38"/>
  </r>
  <r>
    <x v="386"/>
    <d v="2025-02-09T00:00:00"/>
    <x v="0"/>
    <s v="East"/>
    <s v="Mobile"/>
    <s v="Paid Search"/>
    <s v="Free"/>
    <n v="1"/>
    <n v="1"/>
    <n v="0"/>
    <n v="0"/>
    <n v="0"/>
    <n v="0"/>
    <n v="0"/>
    <n v="0"/>
    <n v="43.7"/>
  </r>
  <r>
    <x v="387"/>
    <d v="2025-05-30T00:00:00"/>
    <x v="0"/>
    <s v="West"/>
    <s v="Desktop"/>
    <s v="Organic"/>
    <s v="Premium"/>
    <n v="1"/>
    <n v="0"/>
    <n v="0"/>
    <n v="0"/>
    <n v="0"/>
    <n v="1"/>
    <n v="0"/>
    <n v="0"/>
    <n v="32.200000000000003"/>
  </r>
  <r>
    <x v="388"/>
    <d v="2025-05-01T00:00:00"/>
    <x v="0"/>
    <s v="South"/>
    <s v="Mobile"/>
    <s v="Organic"/>
    <s v="Premium"/>
    <n v="1"/>
    <n v="0"/>
    <n v="0"/>
    <n v="0"/>
    <n v="0"/>
    <n v="0"/>
    <n v="0"/>
    <n v="0"/>
    <n v="61"/>
  </r>
  <r>
    <x v="389"/>
    <d v="2025-01-03T00:00:00"/>
    <x v="0"/>
    <s v="South"/>
    <s v="Mobile"/>
    <s v="Paid Search"/>
    <s v="Free"/>
    <n v="1"/>
    <n v="0"/>
    <n v="0"/>
    <n v="0"/>
    <n v="0"/>
    <n v="0"/>
    <n v="0"/>
    <n v="0"/>
    <n v="49"/>
  </r>
  <r>
    <x v="390"/>
    <d v="2025-02-13T00:00:00"/>
    <x v="0"/>
    <s v="East"/>
    <s v="Mobile"/>
    <s v="Organic"/>
    <s v="Free"/>
    <n v="0"/>
    <n v="0"/>
    <n v="0"/>
    <n v="0"/>
    <n v="0"/>
    <n v="0"/>
    <n v="0"/>
    <n v="0"/>
    <n v="48.1"/>
  </r>
  <r>
    <x v="391"/>
    <d v="2025-01-14T00:00:00"/>
    <x v="0"/>
    <s v="South"/>
    <s v="Desktop"/>
    <s v="Organic"/>
    <s v="Free"/>
    <n v="0"/>
    <n v="0"/>
    <n v="0"/>
    <n v="0"/>
    <n v="0"/>
    <n v="2"/>
    <n v="0"/>
    <n v="0"/>
    <n v="46.3"/>
  </r>
  <r>
    <x v="392"/>
    <d v="2025-02-24T00:00:00"/>
    <x v="0"/>
    <s v="North"/>
    <s v="Mobile"/>
    <s v="Referral"/>
    <s v="Free"/>
    <n v="0"/>
    <n v="0"/>
    <n v="0"/>
    <n v="0"/>
    <n v="0"/>
    <n v="0"/>
    <n v="0"/>
    <n v="0"/>
    <n v="64"/>
  </r>
  <r>
    <x v="393"/>
    <d v="2025-05-16T00:00:00"/>
    <x v="0"/>
    <s v="West"/>
    <s v="Desktop"/>
    <s v="Organic"/>
    <s v="Basic"/>
    <n v="1"/>
    <n v="1"/>
    <n v="0"/>
    <n v="0"/>
    <n v="0"/>
    <n v="0"/>
    <n v="0"/>
    <n v="0"/>
    <n v="56.2"/>
  </r>
  <r>
    <x v="394"/>
    <d v="2025-04-29T00:00:00"/>
    <x v="0"/>
    <s v="North"/>
    <s v="Mobile"/>
    <s v="Paid Search"/>
    <s v="Free"/>
    <n v="1"/>
    <n v="1"/>
    <n v="1"/>
    <n v="0"/>
    <n v="0"/>
    <n v="0"/>
    <n v="0"/>
    <n v="0"/>
    <n v="77.5"/>
  </r>
  <r>
    <x v="395"/>
    <d v="2025-04-30T00:00:00"/>
    <x v="0"/>
    <s v="South"/>
    <s v="Desktop"/>
    <s v="Email"/>
    <s v="Basic"/>
    <n v="1"/>
    <n v="0"/>
    <n v="0"/>
    <n v="0"/>
    <n v="0"/>
    <n v="0"/>
    <n v="0"/>
    <n v="0"/>
    <n v="59.9"/>
  </r>
  <r>
    <x v="396"/>
    <d v="2025-01-09T00:00:00"/>
    <x v="0"/>
    <s v="South"/>
    <s v="Desktop"/>
    <s v="Organic"/>
    <s v="Free"/>
    <n v="1"/>
    <n v="1"/>
    <n v="0"/>
    <n v="0"/>
    <n v="0"/>
    <n v="0"/>
    <n v="0"/>
    <n v="0"/>
    <n v="63"/>
  </r>
  <r>
    <x v="397"/>
    <d v="2025-04-25T00:00:00"/>
    <x v="0"/>
    <s v="South"/>
    <s v="Mobile"/>
    <s v="Organic"/>
    <s v="Free"/>
    <n v="1"/>
    <n v="1"/>
    <n v="0"/>
    <n v="0"/>
    <n v="0"/>
    <n v="0"/>
    <n v="0"/>
    <n v="0"/>
    <n v="76.5"/>
  </r>
  <r>
    <x v="398"/>
    <d v="2025-03-12T00:00:00"/>
    <x v="0"/>
    <s v="North"/>
    <s v="Desktop"/>
    <s v="Paid Search"/>
    <s v="Free"/>
    <n v="1"/>
    <n v="0"/>
    <n v="0"/>
    <n v="0"/>
    <n v="0"/>
    <n v="0"/>
    <n v="0"/>
    <n v="0"/>
    <n v="39.700000000000003"/>
  </r>
  <r>
    <x v="399"/>
    <d v="2025-03-20T00:00:00"/>
    <x v="0"/>
    <s v="North"/>
    <s v="Mobile"/>
    <s v="Organic"/>
    <s v="Free"/>
    <n v="1"/>
    <n v="1"/>
    <n v="0"/>
    <n v="0"/>
    <n v="0"/>
    <n v="0"/>
    <n v="0"/>
    <n v="0"/>
    <n v="80.2"/>
  </r>
  <r>
    <x v="400"/>
    <d v="2025-02-18T00:00:00"/>
    <x v="0"/>
    <s v="West"/>
    <s v="Mobile"/>
    <s v="Paid Search"/>
    <s v="Free"/>
    <n v="1"/>
    <n v="0"/>
    <n v="0"/>
    <n v="0"/>
    <n v="0"/>
    <n v="0"/>
    <n v="0"/>
    <n v="0"/>
    <n v="72.2"/>
  </r>
  <r>
    <x v="401"/>
    <d v="2025-01-22T00:00:00"/>
    <x v="0"/>
    <s v="North"/>
    <s v="Mobile"/>
    <s v="Social"/>
    <s v="Basic"/>
    <n v="0"/>
    <n v="0"/>
    <n v="0"/>
    <n v="0"/>
    <n v="0"/>
    <n v="0"/>
    <n v="0"/>
    <n v="0"/>
    <n v="56"/>
  </r>
  <r>
    <x v="402"/>
    <d v="2025-02-08T00:00:00"/>
    <x v="0"/>
    <s v="West"/>
    <s v="Mobile"/>
    <s v="Email"/>
    <s v="Basic"/>
    <n v="1"/>
    <n v="1"/>
    <n v="1"/>
    <n v="0"/>
    <n v="0"/>
    <n v="0"/>
    <n v="0"/>
    <n v="0"/>
    <n v="69.099999999999994"/>
  </r>
  <r>
    <x v="403"/>
    <d v="2025-01-20T00:00:00"/>
    <x v="0"/>
    <s v="North"/>
    <s v="Mobile"/>
    <s v="Email"/>
    <s v="Premium"/>
    <n v="0"/>
    <n v="0"/>
    <n v="0"/>
    <n v="0"/>
    <n v="0"/>
    <n v="1"/>
    <n v="0"/>
    <n v="0"/>
    <n v="70.599999999999994"/>
  </r>
  <r>
    <x v="404"/>
    <d v="2025-04-22T00:00:00"/>
    <x v="0"/>
    <s v="West"/>
    <s v="Desktop"/>
    <s v="Referral"/>
    <s v="Free"/>
    <n v="1"/>
    <n v="0"/>
    <n v="0"/>
    <n v="0"/>
    <n v="0"/>
    <n v="0"/>
    <n v="0"/>
    <n v="0"/>
    <n v="57.9"/>
  </r>
  <r>
    <x v="405"/>
    <d v="2025-01-22T00:00:00"/>
    <x v="0"/>
    <s v="East"/>
    <s v="Mobile"/>
    <s v="Organic"/>
    <s v="Basic"/>
    <n v="1"/>
    <n v="1"/>
    <n v="0"/>
    <n v="0"/>
    <n v="0"/>
    <n v="0"/>
    <n v="0"/>
    <n v="0"/>
    <n v="41.4"/>
  </r>
  <r>
    <x v="406"/>
    <d v="2025-05-11T00:00:00"/>
    <x v="0"/>
    <s v="West"/>
    <s v="Mobile"/>
    <s v="Organic"/>
    <s v="Basic"/>
    <n v="1"/>
    <n v="0"/>
    <n v="0"/>
    <n v="0"/>
    <n v="0"/>
    <n v="0"/>
    <n v="0"/>
    <n v="0"/>
    <n v="60.9"/>
  </r>
  <r>
    <x v="407"/>
    <d v="2025-02-06T00:00:00"/>
    <x v="0"/>
    <s v="South"/>
    <s v="Mobile"/>
    <s v="Organic"/>
    <s v="Basic"/>
    <n v="0"/>
    <n v="0"/>
    <n v="0"/>
    <n v="0"/>
    <n v="0"/>
    <n v="1"/>
    <n v="0"/>
    <n v="0"/>
    <n v="63.8"/>
  </r>
  <r>
    <x v="408"/>
    <d v="2025-02-21T00:00:00"/>
    <x v="0"/>
    <s v="North"/>
    <s v="Desktop"/>
    <s v="Organic"/>
    <s v="Premium"/>
    <n v="1"/>
    <n v="0"/>
    <n v="0"/>
    <n v="0"/>
    <n v="0"/>
    <n v="0"/>
    <n v="0"/>
    <n v="0"/>
    <n v="79.2"/>
  </r>
  <r>
    <x v="409"/>
    <d v="2025-01-13T00:00:00"/>
    <x v="0"/>
    <s v="West"/>
    <s v="Mobile"/>
    <s v="Email"/>
    <s v="Premium"/>
    <n v="1"/>
    <n v="1"/>
    <n v="1"/>
    <n v="0"/>
    <n v="0"/>
    <n v="0"/>
    <n v="0"/>
    <n v="0"/>
    <n v="53.3"/>
  </r>
  <r>
    <x v="410"/>
    <d v="2025-03-07T00:00:00"/>
    <x v="0"/>
    <s v="North"/>
    <s v="Mobile"/>
    <s v="Referral"/>
    <s v="Premium"/>
    <n v="1"/>
    <n v="1"/>
    <n v="1"/>
    <n v="1"/>
    <n v="2144.8200000000002"/>
    <n v="0"/>
    <n v="0"/>
    <n v="6"/>
    <n v="52.3"/>
  </r>
  <r>
    <x v="411"/>
    <d v="2025-02-26T00:00:00"/>
    <x v="0"/>
    <s v="West"/>
    <s v="Desktop"/>
    <s v="Organic"/>
    <s v="Basic"/>
    <n v="1"/>
    <n v="1"/>
    <n v="0"/>
    <n v="0"/>
    <n v="0"/>
    <n v="0"/>
    <n v="0"/>
    <n v="0"/>
    <n v="62.4"/>
  </r>
  <r>
    <x v="412"/>
    <d v="2025-05-05T00:00:00"/>
    <x v="0"/>
    <s v="North"/>
    <s v="Mobile"/>
    <s v="Referral"/>
    <s v="Premium"/>
    <n v="1"/>
    <n v="0"/>
    <n v="0"/>
    <n v="0"/>
    <n v="0"/>
    <n v="0"/>
    <n v="0"/>
    <n v="0"/>
    <n v="45.5"/>
  </r>
  <r>
    <x v="413"/>
    <d v="2025-01-08T00:00:00"/>
    <x v="0"/>
    <s v="East"/>
    <s v="Desktop"/>
    <s v="Organic"/>
    <s v="Basic"/>
    <n v="0"/>
    <n v="0"/>
    <n v="0"/>
    <n v="0"/>
    <n v="0"/>
    <n v="1"/>
    <n v="0"/>
    <n v="0"/>
    <n v="72.599999999999994"/>
  </r>
  <r>
    <x v="414"/>
    <d v="2025-03-19T00:00:00"/>
    <x v="0"/>
    <s v="South"/>
    <s v="Mobile"/>
    <s v="Email"/>
    <s v="Premium"/>
    <n v="1"/>
    <n v="1"/>
    <n v="1"/>
    <n v="0"/>
    <n v="0"/>
    <n v="0"/>
    <n v="0"/>
    <n v="0"/>
    <n v="50.1"/>
  </r>
  <r>
    <x v="415"/>
    <d v="2025-01-30T00:00:00"/>
    <x v="0"/>
    <s v="East"/>
    <s v="Desktop"/>
    <s v="Paid Search"/>
    <s v="Free"/>
    <n v="1"/>
    <n v="1"/>
    <n v="1"/>
    <n v="0"/>
    <n v="0"/>
    <n v="2"/>
    <n v="0"/>
    <n v="0"/>
    <n v="58.1"/>
  </r>
  <r>
    <x v="416"/>
    <d v="2025-04-28T00:00:00"/>
    <x v="0"/>
    <s v="East"/>
    <s v="Mobile"/>
    <s v="Organic"/>
    <s v="Basic"/>
    <n v="1"/>
    <n v="0"/>
    <n v="0"/>
    <n v="0"/>
    <n v="0"/>
    <n v="0"/>
    <n v="0"/>
    <n v="0"/>
    <n v="42.9"/>
  </r>
  <r>
    <x v="417"/>
    <d v="2025-03-07T00:00:00"/>
    <x v="0"/>
    <s v="North"/>
    <s v="Mobile"/>
    <s v="Referral"/>
    <s v="Basic"/>
    <n v="0"/>
    <n v="0"/>
    <n v="0"/>
    <n v="0"/>
    <n v="0"/>
    <n v="0"/>
    <n v="0"/>
    <n v="0"/>
    <n v="69.7"/>
  </r>
  <r>
    <x v="418"/>
    <d v="2025-04-07T00:00:00"/>
    <x v="0"/>
    <s v="North"/>
    <s v="Desktop"/>
    <s v="Organic"/>
    <s v="Free"/>
    <n v="0"/>
    <n v="0"/>
    <n v="0"/>
    <n v="0"/>
    <n v="0"/>
    <n v="0"/>
    <n v="0"/>
    <n v="0"/>
    <n v="63.3"/>
  </r>
  <r>
    <x v="419"/>
    <d v="2025-05-08T00:00:00"/>
    <x v="0"/>
    <s v="North"/>
    <s v="Desktop"/>
    <s v="Organic"/>
    <s v="Premium"/>
    <n v="1"/>
    <n v="0"/>
    <n v="0"/>
    <n v="0"/>
    <n v="0"/>
    <n v="0"/>
    <n v="0"/>
    <n v="0"/>
    <n v="71.2"/>
  </r>
  <r>
    <x v="420"/>
    <d v="2025-04-15T00:00:00"/>
    <x v="0"/>
    <s v="South"/>
    <s v="Mobile"/>
    <s v="Email"/>
    <s v="Free"/>
    <n v="1"/>
    <n v="0"/>
    <n v="0"/>
    <n v="0"/>
    <n v="0"/>
    <n v="0"/>
    <n v="0"/>
    <n v="0"/>
    <n v="39.1"/>
  </r>
  <r>
    <x v="421"/>
    <d v="2025-04-20T00:00:00"/>
    <x v="0"/>
    <s v="East"/>
    <s v="Desktop"/>
    <s v="Social"/>
    <s v="Free"/>
    <n v="1"/>
    <n v="0"/>
    <n v="0"/>
    <n v="0"/>
    <n v="0"/>
    <n v="0"/>
    <n v="0"/>
    <n v="0"/>
    <n v="42.6"/>
  </r>
  <r>
    <x v="422"/>
    <d v="2025-05-30T00:00:00"/>
    <x v="0"/>
    <s v="South"/>
    <s v="Tablet"/>
    <s v="Organic"/>
    <s v="Free"/>
    <n v="0"/>
    <n v="0"/>
    <n v="0"/>
    <n v="0"/>
    <n v="0"/>
    <n v="0"/>
    <n v="0"/>
    <n v="0"/>
    <n v="74.400000000000006"/>
  </r>
  <r>
    <x v="423"/>
    <d v="2025-02-13T00:00:00"/>
    <x v="0"/>
    <s v="West"/>
    <s v="Mobile"/>
    <s v="Referral"/>
    <s v="Free"/>
    <n v="0"/>
    <n v="0"/>
    <n v="0"/>
    <n v="0"/>
    <n v="0"/>
    <n v="0"/>
    <n v="0"/>
    <n v="0"/>
    <n v="55.6"/>
  </r>
  <r>
    <x v="424"/>
    <d v="2025-04-28T00:00:00"/>
    <x v="0"/>
    <s v="West"/>
    <s v="Mobile"/>
    <s v="Social"/>
    <s v="Free"/>
    <n v="1"/>
    <n v="0"/>
    <n v="0"/>
    <n v="0"/>
    <n v="0"/>
    <n v="0"/>
    <n v="0"/>
    <n v="0"/>
    <n v="35.799999999999997"/>
  </r>
  <r>
    <x v="425"/>
    <d v="2025-02-12T00:00:00"/>
    <x v="0"/>
    <s v="North"/>
    <s v="Mobile"/>
    <s v="Paid Search"/>
    <s v="Basic"/>
    <n v="1"/>
    <n v="0"/>
    <n v="0"/>
    <n v="0"/>
    <n v="0"/>
    <n v="1"/>
    <n v="0"/>
    <n v="0"/>
    <n v="28.2"/>
  </r>
  <r>
    <x v="426"/>
    <d v="2025-02-12T00:00:00"/>
    <x v="0"/>
    <s v="East"/>
    <s v="Mobile"/>
    <s v="Organic"/>
    <s v="Free"/>
    <n v="0"/>
    <n v="0"/>
    <n v="0"/>
    <n v="0"/>
    <n v="0"/>
    <n v="2"/>
    <n v="0"/>
    <n v="0"/>
    <n v="44.4"/>
  </r>
  <r>
    <x v="427"/>
    <d v="2025-03-27T00:00:00"/>
    <x v="0"/>
    <s v="North"/>
    <s v="Mobile"/>
    <s v="Email"/>
    <s v="Premium"/>
    <n v="1"/>
    <n v="0"/>
    <n v="0"/>
    <n v="0"/>
    <n v="0"/>
    <n v="0"/>
    <n v="0"/>
    <n v="0"/>
    <n v="49.9"/>
  </r>
  <r>
    <x v="428"/>
    <d v="2025-04-12T00:00:00"/>
    <x v="0"/>
    <s v="South"/>
    <s v="Desktop"/>
    <s v="Organic"/>
    <s v="Free"/>
    <n v="0"/>
    <n v="0"/>
    <n v="0"/>
    <n v="0"/>
    <n v="0"/>
    <n v="0"/>
    <n v="0"/>
    <n v="0"/>
    <n v="40.4"/>
  </r>
  <r>
    <x v="429"/>
    <d v="2025-01-30T00:00:00"/>
    <x v="0"/>
    <s v="West"/>
    <s v="Mobile"/>
    <s v="Social"/>
    <s v="Free"/>
    <n v="0"/>
    <n v="0"/>
    <n v="0"/>
    <n v="0"/>
    <n v="0"/>
    <n v="0"/>
    <n v="0"/>
    <n v="0"/>
    <n v="60.4"/>
  </r>
  <r>
    <x v="430"/>
    <d v="2025-05-28T00:00:00"/>
    <x v="0"/>
    <s v="West"/>
    <s v="Mobile"/>
    <s v="Social"/>
    <s v="Premium"/>
    <n v="0"/>
    <n v="0"/>
    <n v="0"/>
    <n v="0"/>
    <n v="0"/>
    <n v="1"/>
    <n v="0"/>
    <n v="0"/>
    <n v="52.4"/>
  </r>
  <r>
    <x v="431"/>
    <d v="2025-05-01T00:00:00"/>
    <x v="0"/>
    <s v="South"/>
    <s v="Mobile"/>
    <s v="Organic"/>
    <s v="Basic"/>
    <n v="1"/>
    <n v="1"/>
    <n v="0"/>
    <n v="0"/>
    <n v="0"/>
    <n v="0"/>
    <n v="0"/>
    <n v="0"/>
    <n v="48.8"/>
  </r>
  <r>
    <x v="432"/>
    <d v="2025-02-03T00:00:00"/>
    <x v="0"/>
    <s v="North"/>
    <s v="Tablet"/>
    <s v="Email"/>
    <s v="Basic"/>
    <n v="1"/>
    <n v="0"/>
    <n v="0"/>
    <n v="0"/>
    <n v="0"/>
    <n v="0"/>
    <n v="0"/>
    <n v="0"/>
    <n v="60.9"/>
  </r>
  <r>
    <x v="433"/>
    <d v="2025-01-10T00:00:00"/>
    <x v="0"/>
    <s v="South"/>
    <s v="Desktop"/>
    <s v="Social"/>
    <s v="Basic"/>
    <n v="0"/>
    <n v="0"/>
    <n v="0"/>
    <n v="0"/>
    <n v="0"/>
    <n v="0"/>
    <n v="0"/>
    <n v="0"/>
    <n v="68.2"/>
  </r>
  <r>
    <x v="434"/>
    <d v="2025-05-02T00:00:00"/>
    <x v="0"/>
    <s v="North"/>
    <s v="Desktop"/>
    <s v="Organic"/>
    <s v="Basic"/>
    <n v="1"/>
    <n v="0"/>
    <n v="0"/>
    <n v="0"/>
    <n v="0"/>
    <n v="0"/>
    <n v="0"/>
    <n v="0"/>
    <n v="65.599999999999994"/>
  </r>
  <r>
    <x v="435"/>
    <d v="2025-05-26T00:00:00"/>
    <x v="0"/>
    <s v="North"/>
    <s v="Desktop"/>
    <s v="Organic"/>
    <s v="Basic"/>
    <n v="1"/>
    <n v="0"/>
    <n v="0"/>
    <n v="0"/>
    <n v="0"/>
    <n v="0"/>
    <n v="0"/>
    <n v="0"/>
    <n v="65.400000000000006"/>
  </r>
  <r>
    <x v="436"/>
    <d v="2025-01-12T00:00:00"/>
    <x v="0"/>
    <s v="West"/>
    <s v="Mobile"/>
    <s v="Organic"/>
    <s v="Basic"/>
    <n v="1"/>
    <n v="0"/>
    <n v="0"/>
    <n v="0"/>
    <n v="0"/>
    <n v="0"/>
    <n v="0"/>
    <n v="0"/>
    <n v="78.900000000000006"/>
  </r>
  <r>
    <x v="437"/>
    <d v="2025-05-27T00:00:00"/>
    <x v="0"/>
    <s v="East"/>
    <s v="Mobile"/>
    <s v="Paid Search"/>
    <s v="Basic"/>
    <n v="1"/>
    <n v="1"/>
    <n v="1"/>
    <n v="0"/>
    <n v="0"/>
    <n v="0"/>
    <n v="0"/>
    <n v="0"/>
    <n v="78.3"/>
  </r>
  <r>
    <x v="438"/>
    <d v="2025-05-22T00:00:00"/>
    <x v="0"/>
    <s v="West"/>
    <s v="Desktop"/>
    <s v="Email"/>
    <s v="Basic"/>
    <n v="0"/>
    <n v="0"/>
    <n v="0"/>
    <n v="0"/>
    <n v="0"/>
    <n v="0"/>
    <n v="0"/>
    <n v="0"/>
    <n v="49.2"/>
  </r>
  <r>
    <x v="439"/>
    <d v="2025-04-01T00:00:00"/>
    <x v="0"/>
    <s v="East"/>
    <s v="Mobile"/>
    <s v="Social"/>
    <s v="Premium"/>
    <n v="1"/>
    <n v="1"/>
    <n v="1"/>
    <n v="1"/>
    <n v="1518.83"/>
    <n v="0"/>
    <n v="0"/>
    <n v="9"/>
    <n v="32.200000000000003"/>
  </r>
  <r>
    <x v="440"/>
    <d v="2025-01-22T00:00:00"/>
    <x v="0"/>
    <s v="North"/>
    <s v="Mobile"/>
    <s v="Paid Search"/>
    <s v="Basic"/>
    <n v="1"/>
    <n v="1"/>
    <n v="1"/>
    <n v="0"/>
    <n v="0"/>
    <n v="0"/>
    <n v="0"/>
    <n v="0"/>
    <n v="46.3"/>
  </r>
  <r>
    <x v="441"/>
    <d v="2025-05-24T00:00:00"/>
    <x v="0"/>
    <s v="East"/>
    <s v="Mobile"/>
    <s v="Paid Search"/>
    <s v="Basic"/>
    <n v="1"/>
    <n v="0"/>
    <n v="0"/>
    <n v="0"/>
    <n v="0"/>
    <n v="0"/>
    <n v="0"/>
    <n v="0"/>
    <n v="55.7"/>
  </r>
  <r>
    <x v="442"/>
    <d v="2025-04-25T00:00:00"/>
    <x v="0"/>
    <s v="South"/>
    <s v="Mobile"/>
    <s v="Social"/>
    <s v="Free"/>
    <n v="1"/>
    <n v="0"/>
    <n v="0"/>
    <n v="0"/>
    <n v="0"/>
    <n v="0"/>
    <n v="0"/>
    <n v="0"/>
    <n v="44.5"/>
  </r>
  <r>
    <x v="443"/>
    <d v="2025-04-12T00:00:00"/>
    <x v="0"/>
    <s v="West"/>
    <s v="Desktop"/>
    <s v="Referral"/>
    <s v="Free"/>
    <n v="1"/>
    <n v="1"/>
    <n v="1"/>
    <n v="0"/>
    <n v="0"/>
    <n v="1"/>
    <n v="0"/>
    <n v="0"/>
    <n v="47.9"/>
  </r>
  <r>
    <x v="444"/>
    <d v="2025-04-23T00:00:00"/>
    <x v="0"/>
    <s v="South"/>
    <s v="Mobile"/>
    <s v="Organic"/>
    <s v="Premium"/>
    <n v="1"/>
    <n v="0"/>
    <n v="0"/>
    <n v="0"/>
    <n v="0"/>
    <n v="0"/>
    <n v="0"/>
    <n v="0"/>
    <n v="43.9"/>
  </r>
  <r>
    <x v="445"/>
    <d v="2025-03-30T00:00:00"/>
    <x v="0"/>
    <s v="North"/>
    <s v="Desktop"/>
    <s v="Referral"/>
    <s v="Free"/>
    <n v="1"/>
    <n v="1"/>
    <n v="1"/>
    <n v="0"/>
    <n v="0"/>
    <n v="1"/>
    <n v="0"/>
    <n v="0"/>
    <n v="67.7"/>
  </r>
  <r>
    <x v="446"/>
    <d v="2025-01-18T00:00:00"/>
    <x v="0"/>
    <s v="East"/>
    <s v="Mobile"/>
    <s v="Referral"/>
    <s v="Basic"/>
    <n v="0"/>
    <n v="0"/>
    <n v="0"/>
    <n v="0"/>
    <n v="0"/>
    <n v="0"/>
    <n v="0"/>
    <n v="0"/>
    <n v="43.7"/>
  </r>
  <r>
    <x v="447"/>
    <d v="2025-04-09T00:00:00"/>
    <x v="0"/>
    <s v="East"/>
    <s v="Mobile"/>
    <s v="Organic"/>
    <s v="Free"/>
    <n v="1"/>
    <n v="0"/>
    <n v="0"/>
    <n v="0"/>
    <n v="0"/>
    <n v="0"/>
    <n v="0"/>
    <n v="0"/>
    <n v="68.8"/>
  </r>
  <r>
    <x v="448"/>
    <d v="2025-01-11T00:00:00"/>
    <x v="0"/>
    <s v="West"/>
    <s v="Mobile"/>
    <s v="Organic"/>
    <s v="Free"/>
    <n v="1"/>
    <n v="1"/>
    <n v="1"/>
    <n v="0"/>
    <n v="0"/>
    <n v="0"/>
    <n v="0"/>
    <n v="0"/>
    <n v="59.2"/>
  </r>
  <r>
    <x v="449"/>
    <d v="2025-03-05T00:00:00"/>
    <x v="0"/>
    <s v="East"/>
    <s v="Mobile"/>
    <s v="Paid Search"/>
    <s v="Free"/>
    <n v="1"/>
    <n v="0"/>
    <n v="0"/>
    <n v="0"/>
    <n v="0"/>
    <n v="0"/>
    <n v="0"/>
    <n v="0"/>
    <n v="48.6"/>
  </r>
  <r>
    <x v="450"/>
    <d v="2025-02-17T00:00:00"/>
    <x v="0"/>
    <s v="North"/>
    <s v="Tablet"/>
    <s v="Social"/>
    <s v="Free"/>
    <n v="1"/>
    <n v="1"/>
    <n v="1"/>
    <n v="0"/>
    <n v="0"/>
    <n v="0"/>
    <n v="0"/>
    <n v="0"/>
    <n v="56.9"/>
  </r>
  <r>
    <x v="451"/>
    <d v="2025-05-07T00:00:00"/>
    <x v="0"/>
    <s v="North"/>
    <s v="Desktop"/>
    <s v="Paid Search"/>
    <s v="Free"/>
    <n v="0"/>
    <n v="0"/>
    <n v="0"/>
    <n v="0"/>
    <n v="0"/>
    <n v="0"/>
    <n v="0"/>
    <n v="0"/>
    <n v="55.8"/>
  </r>
  <r>
    <x v="452"/>
    <d v="2025-04-10T00:00:00"/>
    <x v="0"/>
    <s v="East"/>
    <s v="Mobile"/>
    <s v="Paid Search"/>
    <s v="Premium"/>
    <n v="0"/>
    <n v="0"/>
    <n v="0"/>
    <n v="0"/>
    <n v="0"/>
    <n v="0"/>
    <n v="0"/>
    <n v="0"/>
    <n v="63.3"/>
  </r>
  <r>
    <x v="453"/>
    <d v="2025-04-21T00:00:00"/>
    <x v="0"/>
    <s v="North"/>
    <s v="Mobile"/>
    <s v="Social"/>
    <s v="Free"/>
    <n v="1"/>
    <n v="0"/>
    <n v="0"/>
    <n v="0"/>
    <n v="0"/>
    <n v="0"/>
    <n v="0"/>
    <n v="0"/>
    <n v="52.2"/>
  </r>
  <r>
    <x v="454"/>
    <d v="2025-02-25T00:00:00"/>
    <x v="0"/>
    <s v="South"/>
    <s v="Tablet"/>
    <s v="Unknown"/>
    <s v="Free"/>
    <n v="0"/>
    <n v="0"/>
    <n v="0"/>
    <n v="0"/>
    <n v="0"/>
    <n v="0"/>
    <n v="0"/>
    <n v="0"/>
    <n v="51.5"/>
  </r>
  <r>
    <x v="455"/>
    <d v="2025-05-14T00:00:00"/>
    <x v="0"/>
    <s v="East"/>
    <s v="Desktop"/>
    <s v="Organic"/>
    <s v="Free"/>
    <n v="0"/>
    <n v="0"/>
    <n v="0"/>
    <n v="0"/>
    <n v="0"/>
    <n v="0"/>
    <n v="0"/>
    <n v="0"/>
    <n v="50.3"/>
  </r>
  <r>
    <x v="456"/>
    <d v="2025-03-10T00:00:00"/>
    <x v="0"/>
    <s v="North"/>
    <s v="Mobile"/>
    <s v="Email"/>
    <s v="Basic"/>
    <n v="1"/>
    <n v="0"/>
    <n v="0"/>
    <n v="0"/>
    <n v="0"/>
    <n v="1"/>
    <n v="0"/>
    <n v="0"/>
    <n v="35.4"/>
  </r>
  <r>
    <x v="457"/>
    <d v="2025-01-31T00:00:00"/>
    <x v="0"/>
    <s v="West"/>
    <s v="Desktop"/>
    <s v="Organic"/>
    <s v="Premium"/>
    <n v="1"/>
    <n v="0"/>
    <n v="0"/>
    <n v="0"/>
    <n v="0"/>
    <n v="1"/>
    <n v="0"/>
    <n v="0"/>
    <n v="54.1"/>
  </r>
  <r>
    <x v="458"/>
    <d v="2025-01-17T00:00:00"/>
    <x v="0"/>
    <s v="South"/>
    <s v="Mobile"/>
    <s v="Organic"/>
    <s v="Premium"/>
    <n v="1"/>
    <n v="0"/>
    <n v="0"/>
    <n v="0"/>
    <n v="0"/>
    <n v="0"/>
    <n v="0"/>
    <n v="0"/>
    <n v="56.2"/>
  </r>
  <r>
    <x v="459"/>
    <d v="2025-03-12T00:00:00"/>
    <x v="0"/>
    <s v="South"/>
    <s v="Mobile"/>
    <s v="Paid Search"/>
    <s v="Free"/>
    <n v="0"/>
    <n v="0"/>
    <n v="0"/>
    <n v="0"/>
    <n v="0"/>
    <n v="3"/>
    <n v="0"/>
    <n v="0"/>
    <n v="43.7"/>
  </r>
  <r>
    <x v="460"/>
    <d v="2025-02-28T00:00:00"/>
    <x v="0"/>
    <s v="West"/>
    <s v="Desktop"/>
    <s v="Organic"/>
    <s v="Premium"/>
    <n v="1"/>
    <n v="1"/>
    <n v="0"/>
    <n v="0"/>
    <n v="0"/>
    <n v="0"/>
    <n v="0"/>
    <n v="0"/>
    <n v="51.3"/>
  </r>
  <r>
    <x v="461"/>
    <d v="2025-05-19T00:00:00"/>
    <x v="0"/>
    <s v="North"/>
    <s v="Unknown"/>
    <s v="Organic"/>
    <s v="Basic"/>
    <n v="1"/>
    <n v="0"/>
    <n v="0"/>
    <n v="0"/>
    <n v="0"/>
    <n v="0"/>
    <n v="0"/>
    <n v="0"/>
    <n v="50.5"/>
  </r>
  <r>
    <x v="462"/>
    <d v="2025-02-23T00:00:00"/>
    <x v="0"/>
    <s v="North"/>
    <s v="Mobile"/>
    <s v="Referral"/>
    <s v="Basic"/>
    <n v="1"/>
    <n v="0"/>
    <n v="0"/>
    <n v="0"/>
    <n v="0"/>
    <n v="0"/>
    <n v="0"/>
    <n v="0"/>
    <n v="57.3"/>
  </r>
  <r>
    <x v="463"/>
    <d v="2025-02-20T00:00:00"/>
    <x v="0"/>
    <s v="West"/>
    <s v="Desktop"/>
    <s v="Organic"/>
    <s v="Free"/>
    <n v="1"/>
    <n v="1"/>
    <n v="1"/>
    <n v="0"/>
    <n v="0"/>
    <n v="0"/>
    <n v="0"/>
    <n v="0"/>
    <n v="58.4"/>
  </r>
  <r>
    <x v="464"/>
    <d v="2025-04-12T00:00:00"/>
    <x v="0"/>
    <s v="North"/>
    <s v="Mobile"/>
    <s v="Unknown"/>
    <s v="Free"/>
    <n v="0"/>
    <n v="0"/>
    <n v="0"/>
    <n v="0"/>
    <n v="0"/>
    <n v="0"/>
    <n v="0"/>
    <n v="0"/>
    <n v="56.5"/>
  </r>
  <r>
    <x v="465"/>
    <d v="2025-01-08T00:00:00"/>
    <x v="0"/>
    <s v="West"/>
    <s v="Mobile"/>
    <s v="Email"/>
    <s v="Free"/>
    <n v="0"/>
    <n v="0"/>
    <n v="0"/>
    <n v="0"/>
    <n v="0"/>
    <n v="0"/>
    <n v="0"/>
    <n v="0"/>
    <n v="69.599999999999994"/>
  </r>
  <r>
    <x v="466"/>
    <d v="2025-02-13T00:00:00"/>
    <x v="0"/>
    <s v="West"/>
    <s v="Mobile"/>
    <s v="Organic"/>
    <s v="Basic"/>
    <n v="0"/>
    <n v="0"/>
    <n v="0"/>
    <n v="0"/>
    <n v="0"/>
    <n v="0"/>
    <n v="0"/>
    <n v="0"/>
    <n v="6.2"/>
  </r>
  <r>
    <x v="467"/>
    <d v="2025-05-21T00:00:00"/>
    <x v="0"/>
    <s v="East"/>
    <s v="Desktop"/>
    <s v="Email"/>
    <s v="Free"/>
    <n v="1"/>
    <n v="1"/>
    <n v="1"/>
    <n v="0"/>
    <n v="0"/>
    <n v="0"/>
    <n v="0"/>
    <n v="0"/>
    <n v="54.3"/>
  </r>
  <r>
    <x v="468"/>
    <d v="2025-05-30T00:00:00"/>
    <x v="0"/>
    <s v="North"/>
    <s v="Mobile"/>
    <s v="Organic"/>
    <s v="Basic"/>
    <n v="0"/>
    <n v="0"/>
    <n v="0"/>
    <n v="0"/>
    <n v="0"/>
    <n v="0"/>
    <n v="0"/>
    <n v="0"/>
    <n v="59.8"/>
  </r>
  <r>
    <x v="469"/>
    <d v="2025-05-20T00:00:00"/>
    <x v="0"/>
    <s v="West"/>
    <s v="Mobile"/>
    <s v="Paid Search"/>
    <s v="Free"/>
    <n v="0"/>
    <n v="0"/>
    <n v="0"/>
    <n v="0"/>
    <n v="0"/>
    <n v="0"/>
    <n v="0"/>
    <n v="0"/>
    <n v="58.9"/>
  </r>
  <r>
    <x v="470"/>
    <d v="2025-01-09T00:00:00"/>
    <x v="0"/>
    <s v="East"/>
    <s v="Desktop"/>
    <s v="Organic"/>
    <s v="Free"/>
    <n v="0"/>
    <n v="0"/>
    <n v="0"/>
    <n v="0"/>
    <n v="0"/>
    <n v="1"/>
    <n v="0"/>
    <n v="0"/>
    <n v="52.9"/>
  </r>
  <r>
    <x v="471"/>
    <d v="2025-03-07T00:00:00"/>
    <x v="0"/>
    <s v="West"/>
    <s v="Mobile"/>
    <s v="Organic"/>
    <s v="Free"/>
    <n v="0"/>
    <n v="0"/>
    <n v="0"/>
    <n v="0"/>
    <n v="0"/>
    <n v="0"/>
    <n v="0"/>
    <n v="0"/>
    <n v="67.8"/>
  </r>
  <r>
    <x v="472"/>
    <d v="2025-04-23T00:00:00"/>
    <x v="0"/>
    <s v="South"/>
    <s v="Mobile"/>
    <s v="Social"/>
    <s v="Free"/>
    <n v="0"/>
    <n v="0"/>
    <n v="0"/>
    <n v="0"/>
    <n v="0"/>
    <n v="0"/>
    <n v="0"/>
    <n v="0"/>
    <n v="48.7"/>
  </r>
  <r>
    <x v="473"/>
    <d v="2025-03-08T00:00:00"/>
    <x v="0"/>
    <s v="East"/>
    <s v="Mobile"/>
    <s v="Organic"/>
    <s v="Basic"/>
    <n v="0"/>
    <n v="0"/>
    <n v="0"/>
    <n v="0"/>
    <n v="0"/>
    <n v="0"/>
    <n v="0"/>
    <n v="0"/>
    <n v="59"/>
  </r>
  <r>
    <x v="474"/>
    <d v="2025-02-14T00:00:00"/>
    <x v="0"/>
    <s v="South"/>
    <s v="Mobile"/>
    <s v="Referral"/>
    <s v="Free"/>
    <n v="0"/>
    <n v="0"/>
    <n v="0"/>
    <n v="0"/>
    <n v="0"/>
    <n v="0"/>
    <n v="0"/>
    <n v="0"/>
    <n v="63.2"/>
  </r>
  <r>
    <x v="475"/>
    <d v="2025-05-17T00:00:00"/>
    <x v="0"/>
    <s v="West"/>
    <s v="Mobile"/>
    <s v="Referral"/>
    <s v="Basic"/>
    <n v="1"/>
    <n v="0"/>
    <n v="0"/>
    <n v="0"/>
    <n v="0"/>
    <n v="0"/>
    <n v="0"/>
    <n v="0"/>
    <n v="68.7"/>
  </r>
  <r>
    <x v="476"/>
    <d v="2025-04-25T00:00:00"/>
    <x v="0"/>
    <s v="South"/>
    <s v="Mobile"/>
    <s v="Referral"/>
    <s v="Free"/>
    <n v="0"/>
    <n v="0"/>
    <n v="0"/>
    <n v="0"/>
    <n v="0"/>
    <n v="0"/>
    <n v="0"/>
    <n v="0"/>
    <n v="52.1"/>
  </r>
  <r>
    <x v="477"/>
    <d v="2025-03-04T00:00:00"/>
    <x v="0"/>
    <s v="South"/>
    <s v="Desktop"/>
    <s v="Social"/>
    <s v="Basic"/>
    <n v="0"/>
    <n v="0"/>
    <n v="0"/>
    <n v="0"/>
    <n v="0"/>
    <n v="0"/>
    <n v="0"/>
    <n v="0"/>
    <n v="56.5"/>
  </r>
  <r>
    <x v="478"/>
    <d v="2025-03-18T00:00:00"/>
    <x v="0"/>
    <s v="South"/>
    <s v="Mobile"/>
    <s v="Organic"/>
    <s v="Free"/>
    <n v="1"/>
    <n v="0"/>
    <n v="0"/>
    <n v="0"/>
    <n v="0"/>
    <n v="0"/>
    <n v="0"/>
    <n v="0"/>
    <n v="64.400000000000006"/>
  </r>
  <r>
    <x v="479"/>
    <d v="2025-01-30T00:00:00"/>
    <x v="0"/>
    <s v="West"/>
    <s v="Mobile"/>
    <s v="Paid Search"/>
    <s v="Premium"/>
    <n v="1"/>
    <n v="0"/>
    <n v="0"/>
    <n v="0"/>
    <n v="0"/>
    <n v="0"/>
    <n v="0"/>
    <n v="0"/>
    <n v="65.900000000000006"/>
  </r>
  <r>
    <x v="480"/>
    <d v="2025-05-20T00:00:00"/>
    <x v="0"/>
    <s v="West"/>
    <s v="Tablet"/>
    <s v="Referral"/>
    <s v="Free"/>
    <n v="1"/>
    <n v="1"/>
    <n v="1"/>
    <n v="0"/>
    <n v="0"/>
    <n v="0"/>
    <n v="0"/>
    <n v="0"/>
    <n v="100"/>
  </r>
  <r>
    <x v="481"/>
    <d v="2025-02-13T00:00:00"/>
    <x v="0"/>
    <s v="North"/>
    <s v="Unknown"/>
    <s v="Organic"/>
    <s v="Basic"/>
    <n v="1"/>
    <n v="1"/>
    <n v="1"/>
    <n v="0"/>
    <n v="0"/>
    <n v="0"/>
    <n v="0"/>
    <n v="0"/>
    <n v="50.4"/>
  </r>
  <r>
    <x v="482"/>
    <d v="2025-04-12T00:00:00"/>
    <x v="0"/>
    <s v="West"/>
    <s v="Desktop"/>
    <s v="Organic"/>
    <s v="Basic"/>
    <n v="0"/>
    <n v="0"/>
    <n v="0"/>
    <n v="0"/>
    <n v="0"/>
    <n v="0"/>
    <n v="0"/>
    <n v="0"/>
    <n v="41.5"/>
  </r>
  <r>
    <x v="483"/>
    <d v="2025-04-07T00:00:00"/>
    <x v="0"/>
    <s v="North"/>
    <s v="Mobile"/>
    <s v="Email"/>
    <s v="Free"/>
    <n v="0"/>
    <n v="0"/>
    <n v="0"/>
    <n v="0"/>
    <n v="0"/>
    <n v="0"/>
    <n v="0"/>
    <n v="0"/>
    <n v="86.2"/>
  </r>
  <r>
    <x v="484"/>
    <d v="2025-03-12T00:00:00"/>
    <x v="0"/>
    <s v="North"/>
    <s v="Desktop"/>
    <s v="Social"/>
    <s v="Free"/>
    <n v="1"/>
    <n v="1"/>
    <n v="1"/>
    <n v="0"/>
    <n v="0"/>
    <n v="2"/>
    <n v="0"/>
    <n v="0"/>
    <n v="50.8"/>
  </r>
  <r>
    <x v="485"/>
    <d v="2025-02-07T00:00:00"/>
    <x v="0"/>
    <s v="West"/>
    <s v="Mobile"/>
    <s v="Organic"/>
    <s v="Free"/>
    <n v="1"/>
    <n v="0"/>
    <n v="0"/>
    <n v="0"/>
    <n v="0"/>
    <n v="0"/>
    <n v="0"/>
    <n v="0"/>
    <n v="50.9"/>
  </r>
  <r>
    <x v="486"/>
    <d v="2025-05-05T00:00:00"/>
    <x v="0"/>
    <s v="North"/>
    <s v="Mobile"/>
    <s v="Organic"/>
    <s v="Premium"/>
    <n v="1"/>
    <n v="1"/>
    <n v="0"/>
    <n v="0"/>
    <n v="0"/>
    <n v="0"/>
    <n v="0"/>
    <n v="0"/>
    <n v="87.5"/>
  </r>
  <r>
    <x v="487"/>
    <d v="2025-03-18T00:00:00"/>
    <x v="0"/>
    <s v="South"/>
    <s v="Mobile"/>
    <s v="Referral"/>
    <s v="Free"/>
    <n v="0"/>
    <n v="0"/>
    <n v="0"/>
    <n v="0"/>
    <n v="0"/>
    <n v="0"/>
    <n v="0"/>
    <n v="0"/>
    <n v="43.6"/>
  </r>
  <r>
    <x v="488"/>
    <d v="2025-01-05T00:00:00"/>
    <x v="0"/>
    <s v="South"/>
    <s v="Mobile"/>
    <s v="Paid Search"/>
    <s v="Basic"/>
    <n v="1"/>
    <n v="0"/>
    <n v="0"/>
    <n v="0"/>
    <n v="0"/>
    <n v="0"/>
    <n v="0"/>
    <n v="0"/>
    <n v="55.5"/>
  </r>
  <r>
    <x v="489"/>
    <d v="2025-05-10T00:00:00"/>
    <x v="0"/>
    <s v="South"/>
    <s v="Desktop"/>
    <s v="Referral"/>
    <s v="Basic"/>
    <n v="0"/>
    <n v="0"/>
    <n v="0"/>
    <n v="0"/>
    <n v="0"/>
    <n v="0"/>
    <n v="0"/>
    <n v="0"/>
    <n v="78.599999999999994"/>
  </r>
  <r>
    <x v="490"/>
    <d v="2025-01-03T00:00:00"/>
    <x v="0"/>
    <s v="South"/>
    <s v="Mobile"/>
    <s v="Social"/>
    <s v="Basic"/>
    <n v="1"/>
    <n v="1"/>
    <n v="0"/>
    <n v="0"/>
    <n v="0"/>
    <n v="1"/>
    <n v="0"/>
    <n v="0"/>
    <n v="44.3"/>
  </r>
  <r>
    <x v="491"/>
    <d v="2025-05-08T00:00:00"/>
    <x v="0"/>
    <s v="South"/>
    <s v="Mobile"/>
    <s v="Paid Search"/>
    <s v="Free"/>
    <n v="1"/>
    <n v="1"/>
    <n v="0"/>
    <n v="0"/>
    <n v="0"/>
    <n v="0"/>
    <n v="0"/>
    <n v="0"/>
    <n v="45.2"/>
  </r>
  <r>
    <x v="492"/>
    <d v="2025-03-05T00:00:00"/>
    <x v="0"/>
    <s v="South"/>
    <s v="Desktop"/>
    <s v="Email"/>
    <s v="Basic"/>
    <n v="1"/>
    <n v="0"/>
    <n v="0"/>
    <n v="0"/>
    <n v="0"/>
    <n v="2"/>
    <n v="0"/>
    <n v="0"/>
    <n v="46.1"/>
  </r>
  <r>
    <x v="493"/>
    <d v="2025-02-17T00:00:00"/>
    <x v="0"/>
    <s v="North"/>
    <s v="Mobile"/>
    <s v="Organic"/>
    <s v="Premium"/>
    <n v="1"/>
    <n v="0"/>
    <n v="0"/>
    <n v="0"/>
    <n v="0"/>
    <n v="0"/>
    <n v="0"/>
    <n v="0"/>
    <n v="49.6"/>
  </r>
  <r>
    <x v="494"/>
    <d v="2025-01-09T00:00:00"/>
    <x v="0"/>
    <s v="South"/>
    <s v="Mobile"/>
    <s v="Referral"/>
    <s v="Basic"/>
    <n v="0"/>
    <n v="0"/>
    <n v="0"/>
    <n v="0"/>
    <n v="0"/>
    <n v="0"/>
    <n v="0"/>
    <n v="0"/>
    <n v="70.5"/>
  </r>
  <r>
    <x v="495"/>
    <d v="2025-05-05T00:00:00"/>
    <x v="0"/>
    <s v="South"/>
    <s v="Mobile"/>
    <s v="Email"/>
    <s v="Basic"/>
    <n v="0"/>
    <n v="0"/>
    <n v="0"/>
    <n v="0"/>
    <n v="0"/>
    <n v="1"/>
    <n v="0"/>
    <n v="0"/>
    <n v="60.8"/>
  </r>
  <r>
    <x v="496"/>
    <d v="2025-04-16T00:00:00"/>
    <x v="0"/>
    <s v="East"/>
    <s v="Mobile"/>
    <s v="Email"/>
    <s v="Basic"/>
    <n v="0"/>
    <n v="0"/>
    <n v="0"/>
    <n v="0"/>
    <n v="0"/>
    <n v="1"/>
    <n v="0"/>
    <n v="0"/>
    <n v="50.5"/>
  </r>
  <r>
    <x v="497"/>
    <d v="2025-03-02T00:00:00"/>
    <x v="0"/>
    <s v="South"/>
    <s v="Desktop"/>
    <s v="Organic"/>
    <s v="Free"/>
    <n v="1"/>
    <n v="0"/>
    <n v="0"/>
    <n v="0"/>
    <n v="0"/>
    <n v="0"/>
    <n v="0"/>
    <n v="0"/>
    <n v="54.9"/>
  </r>
  <r>
    <x v="498"/>
    <d v="2025-04-14T00:00:00"/>
    <x v="0"/>
    <s v="South"/>
    <s v="Mobile"/>
    <s v="Social"/>
    <s v="Premium"/>
    <n v="0"/>
    <n v="0"/>
    <n v="0"/>
    <n v="0"/>
    <n v="0"/>
    <n v="0"/>
    <n v="0"/>
    <n v="0"/>
    <n v="29.9"/>
  </r>
  <r>
    <x v="499"/>
    <d v="2025-02-15T00:00:00"/>
    <x v="0"/>
    <s v="East"/>
    <s v="Desktop"/>
    <s v="Paid Search"/>
    <s v="Basic"/>
    <n v="0"/>
    <n v="0"/>
    <n v="0"/>
    <n v="0"/>
    <n v="0"/>
    <n v="0"/>
    <n v="0"/>
    <n v="0"/>
    <n v="48.3"/>
  </r>
  <r>
    <x v="500"/>
    <d v="2025-02-13T00:00:00"/>
    <x v="0"/>
    <s v="West"/>
    <s v="Mobile"/>
    <s v="Social"/>
    <s v="Free"/>
    <n v="1"/>
    <n v="1"/>
    <n v="1"/>
    <n v="1"/>
    <n v="513.61"/>
    <n v="0"/>
    <n v="0"/>
    <n v="7"/>
    <n v="41.3"/>
  </r>
  <r>
    <x v="501"/>
    <d v="2025-03-06T00:00:00"/>
    <x v="0"/>
    <s v="North"/>
    <s v="Mobile"/>
    <s v="Email"/>
    <s v="Free"/>
    <n v="0"/>
    <n v="0"/>
    <n v="0"/>
    <n v="0"/>
    <n v="0"/>
    <n v="0"/>
    <n v="0"/>
    <n v="0"/>
    <n v="61.4"/>
  </r>
  <r>
    <x v="502"/>
    <d v="2025-02-18T00:00:00"/>
    <x v="0"/>
    <s v="South"/>
    <s v="Desktop"/>
    <s v="Social"/>
    <s v="Free"/>
    <n v="0"/>
    <n v="0"/>
    <n v="0"/>
    <n v="0"/>
    <n v="0"/>
    <n v="0"/>
    <n v="0"/>
    <n v="0"/>
    <n v="57.8"/>
  </r>
  <r>
    <x v="503"/>
    <d v="2025-04-07T00:00:00"/>
    <x v="0"/>
    <s v="North"/>
    <s v="Desktop"/>
    <s v="Organic"/>
    <s v="Free"/>
    <n v="0"/>
    <n v="0"/>
    <n v="0"/>
    <n v="0"/>
    <n v="0"/>
    <n v="0"/>
    <n v="0"/>
    <n v="0"/>
    <n v="78.2"/>
  </r>
  <r>
    <x v="504"/>
    <d v="2025-04-06T00:00:00"/>
    <x v="0"/>
    <s v="North"/>
    <s v="Mobile"/>
    <s v="Referral"/>
    <s v="Free"/>
    <n v="0"/>
    <n v="0"/>
    <n v="0"/>
    <n v="0"/>
    <n v="0"/>
    <n v="0"/>
    <n v="0"/>
    <n v="0"/>
    <n v="63.8"/>
  </r>
  <r>
    <x v="505"/>
    <d v="2025-01-30T00:00:00"/>
    <x v="0"/>
    <s v="North"/>
    <s v="Desktop"/>
    <s v="Social"/>
    <s v="Free"/>
    <n v="1"/>
    <n v="0"/>
    <n v="0"/>
    <n v="0"/>
    <n v="0"/>
    <n v="0"/>
    <n v="0"/>
    <n v="0"/>
    <n v="56.8"/>
  </r>
  <r>
    <x v="506"/>
    <d v="2025-05-13T00:00:00"/>
    <x v="0"/>
    <s v="South"/>
    <s v="Desktop"/>
    <s v="Organic"/>
    <s v="Basic"/>
    <n v="1"/>
    <n v="1"/>
    <n v="0"/>
    <n v="0"/>
    <n v="0"/>
    <n v="0"/>
    <n v="0"/>
    <n v="0"/>
    <n v="59.6"/>
  </r>
  <r>
    <x v="507"/>
    <d v="2025-01-20T00:00:00"/>
    <x v="0"/>
    <s v="West"/>
    <s v="Mobile"/>
    <s v="Paid Search"/>
    <s v="Premium"/>
    <n v="1"/>
    <n v="1"/>
    <n v="0"/>
    <n v="0"/>
    <n v="0"/>
    <n v="0"/>
    <n v="0"/>
    <n v="0"/>
    <n v="50"/>
  </r>
  <r>
    <x v="508"/>
    <d v="2025-01-30T00:00:00"/>
    <x v="0"/>
    <s v="North"/>
    <s v="Tablet"/>
    <s v="Organic"/>
    <s v="Free"/>
    <n v="1"/>
    <n v="0"/>
    <n v="0"/>
    <n v="0"/>
    <n v="0"/>
    <n v="0"/>
    <n v="0"/>
    <n v="0"/>
    <n v="35.700000000000003"/>
  </r>
  <r>
    <x v="509"/>
    <d v="2025-01-13T00:00:00"/>
    <x v="0"/>
    <s v="South"/>
    <s v="Mobile"/>
    <s v="Organic"/>
    <s v="Free"/>
    <n v="0"/>
    <n v="0"/>
    <n v="0"/>
    <n v="0"/>
    <n v="0"/>
    <n v="2"/>
    <n v="0"/>
    <n v="0"/>
    <n v="47.2"/>
  </r>
  <r>
    <x v="510"/>
    <d v="2025-02-11T00:00:00"/>
    <x v="0"/>
    <s v="North"/>
    <s v="Mobile"/>
    <s v="Social"/>
    <s v="Free"/>
    <n v="1"/>
    <n v="1"/>
    <n v="0"/>
    <n v="0"/>
    <n v="0"/>
    <n v="0"/>
    <n v="0"/>
    <n v="0"/>
    <n v="56.9"/>
  </r>
  <r>
    <x v="511"/>
    <d v="2025-04-15T00:00:00"/>
    <x v="0"/>
    <s v="South"/>
    <s v="Mobile"/>
    <s v="Organic"/>
    <s v="Free"/>
    <n v="0"/>
    <n v="0"/>
    <n v="0"/>
    <n v="0"/>
    <n v="0"/>
    <n v="1"/>
    <n v="0"/>
    <n v="0"/>
    <n v="57.2"/>
  </r>
  <r>
    <x v="512"/>
    <d v="2025-02-13T00:00:00"/>
    <x v="0"/>
    <s v="South"/>
    <s v="Mobile"/>
    <s v="Unknown"/>
    <s v="Free"/>
    <n v="1"/>
    <n v="1"/>
    <n v="0"/>
    <n v="0"/>
    <n v="0"/>
    <n v="0"/>
    <n v="0"/>
    <n v="0"/>
    <n v="31.4"/>
  </r>
  <r>
    <x v="513"/>
    <d v="2025-05-09T00:00:00"/>
    <x v="0"/>
    <s v="South"/>
    <s v="Desktop"/>
    <s v="Organic"/>
    <s v="Free"/>
    <n v="0"/>
    <n v="0"/>
    <n v="0"/>
    <n v="0"/>
    <n v="0"/>
    <n v="0"/>
    <n v="0"/>
    <n v="0"/>
    <n v="71.2"/>
  </r>
  <r>
    <x v="514"/>
    <d v="2025-03-10T00:00:00"/>
    <x v="0"/>
    <s v="North"/>
    <s v="Mobile"/>
    <s v="Paid Search"/>
    <s v="Free"/>
    <n v="1"/>
    <n v="1"/>
    <n v="1"/>
    <n v="0"/>
    <n v="0"/>
    <n v="1"/>
    <n v="0"/>
    <n v="0"/>
    <n v="38.299999999999997"/>
  </r>
  <r>
    <x v="515"/>
    <d v="2025-04-01T00:00:00"/>
    <x v="0"/>
    <s v="North"/>
    <s v="Mobile"/>
    <s v="Organic"/>
    <s v="Free"/>
    <n v="1"/>
    <n v="1"/>
    <n v="0"/>
    <n v="0"/>
    <n v="0"/>
    <n v="0"/>
    <n v="0"/>
    <n v="0"/>
    <n v="63.1"/>
  </r>
  <r>
    <x v="516"/>
    <d v="2025-05-15T00:00:00"/>
    <x v="0"/>
    <s v="East"/>
    <s v="Mobile"/>
    <s v="Referral"/>
    <s v="Basic"/>
    <n v="1"/>
    <n v="0"/>
    <n v="0"/>
    <n v="0"/>
    <n v="0"/>
    <n v="0"/>
    <n v="0"/>
    <n v="0"/>
    <n v="59.7"/>
  </r>
  <r>
    <x v="517"/>
    <d v="2025-05-04T00:00:00"/>
    <x v="0"/>
    <s v="South"/>
    <s v="Desktop"/>
    <s v="Social"/>
    <s v="Premium"/>
    <n v="1"/>
    <n v="1"/>
    <n v="1"/>
    <n v="0"/>
    <n v="0"/>
    <n v="0"/>
    <n v="0"/>
    <n v="0"/>
    <n v="59.5"/>
  </r>
  <r>
    <x v="518"/>
    <d v="2025-05-20T00:00:00"/>
    <x v="0"/>
    <s v="East"/>
    <s v="Mobile"/>
    <s v="Paid Search"/>
    <s v="Free"/>
    <n v="0"/>
    <n v="0"/>
    <n v="0"/>
    <n v="0"/>
    <n v="0"/>
    <n v="0"/>
    <n v="0"/>
    <n v="0"/>
    <n v="78.8"/>
  </r>
  <r>
    <x v="519"/>
    <d v="2025-05-16T00:00:00"/>
    <x v="0"/>
    <s v="West"/>
    <s v="Desktop"/>
    <s v="Referral"/>
    <s v="Free"/>
    <n v="0"/>
    <n v="0"/>
    <n v="0"/>
    <n v="0"/>
    <n v="0"/>
    <n v="0"/>
    <n v="0"/>
    <n v="0"/>
    <n v="54"/>
  </r>
  <r>
    <x v="520"/>
    <d v="2025-03-17T00:00:00"/>
    <x v="0"/>
    <s v="West"/>
    <s v="Mobile"/>
    <s v="Organic"/>
    <s v="Free"/>
    <n v="1"/>
    <n v="0"/>
    <n v="0"/>
    <n v="0"/>
    <n v="0"/>
    <n v="0"/>
    <n v="0"/>
    <n v="0"/>
    <n v="66.3"/>
  </r>
  <r>
    <x v="521"/>
    <d v="2025-01-27T00:00:00"/>
    <x v="0"/>
    <s v="East"/>
    <s v="Tablet"/>
    <s v="Paid Search"/>
    <s v="Free"/>
    <n v="1"/>
    <n v="1"/>
    <n v="0"/>
    <n v="0"/>
    <n v="0"/>
    <n v="0"/>
    <n v="0"/>
    <n v="0"/>
    <n v="54.7"/>
  </r>
  <r>
    <x v="522"/>
    <d v="2025-04-13T00:00:00"/>
    <x v="0"/>
    <s v="South"/>
    <s v="Mobile"/>
    <s v="Organic"/>
    <s v="Basic"/>
    <n v="1"/>
    <n v="0"/>
    <n v="0"/>
    <n v="0"/>
    <n v="0"/>
    <n v="0"/>
    <n v="0"/>
    <n v="0"/>
    <n v="76.7"/>
  </r>
  <r>
    <x v="523"/>
    <d v="2025-05-03T00:00:00"/>
    <x v="0"/>
    <s v="South"/>
    <s v="Desktop"/>
    <s v="Email"/>
    <s v="Basic"/>
    <n v="1"/>
    <n v="0"/>
    <n v="0"/>
    <n v="0"/>
    <n v="0"/>
    <n v="2"/>
    <n v="0"/>
    <n v="0"/>
    <n v="47.4"/>
  </r>
  <r>
    <x v="524"/>
    <d v="2025-03-30T00:00:00"/>
    <x v="0"/>
    <s v="North"/>
    <s v="Mobile"/>
    <s v="Organic"/>
    <s v="Free"/>
    <n v="1"/>
    <n v="1"/>
    <n v="1"/>
    <n v="0"/>
    <n v="0"/>
    <n v="0"/>
    <n v="0"/>
    <n v="0"/>
    <n v="81.7"/>
  </r>
  <r>
    <x v="525"/>
    <d v="2025-01-01T00:00:00"/>
    <x v="0"/>
    <s v="West"/>
    <s v="Mobile"/>
    <s v="Paid Search"/>
    <s v="Basic"/>
    <n v="1"/>
    <n v="1"/>
    <n v="1"/>
    <n v="0"/>
    <n v="0"/>
    <n v="0"/>
    <n v="0"/>
    <n v="0"/>
    <n v="67.5"/>
  </r>
  <r>
    <x v="526"/>
    <d v="2025-02-06T00:00:00"/>
    <x v="0"/>
    <s v="West"/>
    <s v="Mobile"/>
    <s v="Paid Search"/>
    <s v="Basic"/>
    <n v="1"/>
    <n v="0"/>
    <n v="0"/>
    <n v="0"/>
    <n v="0"/>
    <n v="0"/>
    <n v="0"/>
    <n v="0"/>
    <n v="36.799999999999997"/>
  </r>
  <r>
    <x v="527"/>
    <d v="2025-02-25T00:00:00"/>
    <x v="0"/>
    <s v="North"/>
    <s v="Desktop"/>
    <s v="Organic"/>
    <s v="Free"/>
    <n v="0"/>
    <n v="0"/>
    <n v="0"/>
    <n v="0"/>
    <n v="0"/>
    <n v="0"/>
    <n v="0"/>
    <n v="0"/>
    <n v="66.5"/>
  </r>
  <r>
    <x v="528"/>
    <d v="2025-05-14T00:00:00"/>
    <x v="0"/>
    <s v="East"/>
    <s v="Tablet"/>
    <s v="Social"/>
    <s v="Free"/>
    <n v="1"/>
    <n v="0"/>
    <n v="0"/>
    <n v="0"/>
    <n v="0"/>
    <n v="0"/>
    <n v="0"/>
    <n v="0"/>
    <n v="35.4"/>
  </r>
  <r>
    <x v="529"/>
    <d v="2025-05-20T00:00:00"/>
    <x v="0"/>
    <s v="South"/>
    <s v="Mobile"/>
    <s v="Organic"/>
    <s v="Basic"/>
    <n v="0"/>
    <n v="0"/>
    <n v="0"/>
    <n v="0"/>
    <n v="0"/>
    <n v="0"/>
    <n v="0"/>
    <n v="0"/>
    <n v="64.3"/>
  </r>
  <r>
    <x v="530"/>
    <d v="2025-02-11T00:00:00"/>
    <x v="0"/>
    <s v="South"/>
    <s v="Mobile"/>
    <s v="Organic"/>
    <s v="Free"/>
    <n v="0"/>
    <n v="0"/>
    <n v="0"/>
    <n v="0"/>
    <n v="0"/>
    <n v="0"/>
    <n v="0"/>
    <n v="0"/>
    <n v="49.1"/>
  </r>
  <r>
    <x v="531"/>
    <d v="2025-02-13T00:00:00"/>
    <x v="0"/>
    <s v="West"/>
    <s v="Mobile"/>
    <s v="Organic"/>
    <s v="Free"/>
    <n v="1"/>
    <n v="0"/>
    <n v="0"/>
    <n v="0"/>
    <n v="0"/>
    <n v="0"/>
    <n v="0"/>
    <n v="0"/>
    <n v="84.3"/>
  </r>
  <r>
    <x v="532"/>
    <d v="2025-04-07T00:00:00"/>
    <x v="0"/>
    <s v="South"/>
    <s v="Mobile"/>
    <s v="Paid Search"/>
    <s v="Premium"/>
    <n v="1"/>
    <n v="0"/>
    <n v="0"/>
    <n v="0"/>
    <n v="0"/>
    <n v="0"/>
    <n v="0"/>
    <n v="0"/>
    <n v="65.599999999999994"/>
  </r>
  <r>
    <x v="533"/>
    <d v="2025-03-08T00:00:00"/>
    <x v="0"/>
    <s v="East"/>
    <s v="Mobile"/>
    <s v="Email"/>
    <s v="Free"/>
    <n v="1"/>
    <n v="0"/>
    <n v="0"/>
    <n v="0"/>
    <n v="0"/>
    <n v="0"/>
    <n v="0"/>
    <n v="0"/>
    <n v="47.1"/>
  </r>
  <r>
    <x v="534"/>
    <d v="2025-02-16T00:00:00"/>
    <x v="0"/>
    <s v="North"/>
    <s v="Desktop"/>
    <s v="Paid Search"/>
    <s v="Free"/>
    <n v="1"/>
    <n v="1"/>
    <n v="1"/>
    <n v="0"/>
    <n v="0"/>
    <n v="0"/>
    <n v="0"/>
    <n v="0"/>
    <n v="70"/>
  </r>
  <r>
    <x v="535"/>
    <d v="2025-04-28T00:00:00"/>
    <x v="0"/>
    <s v="South"/>
    <s v="Mobile"/>
    <s v="Paid Search"/>
    <s v="Premium"/>
    <n v="1"/>
    <n v="0"/>
    <n v="0"/>
    <n v="0"/>
    <n v="0"/>
    <n v="0"/>
    <n v="0"/>
    <n v="0"/>
    <n v="54.6"/>
  </r>
  <r>
    <x v="536"/>
    <d v="2025-03-10T00:00:00"/>
    <x v="0"/>
    <s v="West"/>
    <s v="Tablet"/>
    <s v="Social"/>
    <s v="Basic"/>
    <n v="1"/>
    <n v="1"/>
    <n v="0"/>
    <n v="0"/>
    <n v="0"/>
    <n v="1"/>
    <n v="0"/>
    <n v="0"/>
    <n v="65.2"/>
  </r>
  <r>
    <x v="537"/>
    <d v="2025-01-25T00:00:00"/>
    <x v="0"/>
    <s v="East"/>
    <s v="Mobile"/>
    <s v="Social"/>
    <s v="Free"/>
    <n v="1"/>
    <n v="0"/>
    <n v="0"/>
    <n v="0"/>
    <n v="0"/>
    <n v="0"/>
    <n v="0"/>
    <n v="0"/>
    <n v="65"/>
  </r>
  <r>
    <x v="538"/>
    <d v="2025-01-11T00:00:00"/>
    <x v="0"/>
    <s v="West"/>
    <s v="Mobile"/>
    <s v="Paid Search"/>
    <s v="Premium"/>
    <n v="1"/>
    <n v="1"/>
    <n v="1"/>
    <n v="0"/>
    <n v="0"/>
    <n v="1"/>
    <n v="0"/>
    <n v="0"/>
    <n v="42.1"/>
  </r>
  <r>
    <x v="539"/>
    <d v="2025-03-31T00:00:00"/>
    <x v="0"/>
    <s v="West"/>
    <s v="Tablet"/>
    <s v="Paid Search"/>
    <s v="Free"/>
    <n v="1"/>
    <n v="0"/>
    <n v="0"/>
    <n v="0"/>
    <n v="0"/>
    <n v="0"/>
    <n v="0"/>
    <n v="0"/>
    <n v="43.4"/>
  </r>
  <r>
    <x v="540"/>
    <d v="2025-05-22T00:00:00"/>
    <x v="0"/>
    <s v="North"/>
    <s v="Mobile"/>
    <s v="Paid Search"/>
    <s v="Basic"/>
    <n v="1"/>
    <n v="1"/>
    <n v="0"/>
    <n v="0"/>
    <n v="0"/>
    <n v="0"/>
    <n v="0"/>
    <n v="0"/>
    <n v="39.9"/>
  </r>
  <r>
    <x v="541"/>
    <d v="2025-05-16T00:00:00"/>
    <x v="0"/>
    <s v="North"/>
    <s v="Mobile"/>
    <s v="Referral"/>
    <s v="Basic"/>
    <n v="0"/>
    <n v="0"/>
    <n v="0"/>
    <n v="0"/>
    <n v="0"/>
    <n v="0"/>
    <n v="0"/>
    <n v="0"/>
    <n v="74.099999999999994"/>
  </r>
  <r>
    <x v="542"/>
    <d v="2025-04-25T00:00:00"/>
    <x v="0"/>
    <s v="East"/>
    <s v="Desktop"/>
    <s v="Paid Search"/>
    <s v="Free"/>
    <n v="1"/>
    <n v="0"/>
    <n v="0"/>
    <n v="0"/>
    <n v="0"/>
    <n v="0"/>
    <n v="0"/>
    <n v="0"/>
    <n v="61.4"/>
  </r>
  <r>
    <x v="543"/>
    <d v="2025-04-17T00:00:00"/>
    <x v="0"/>
    <s v="East"/>
    <s v="Mobile"/>
    <s v="Social"/>
    <s v="Premium"/>
    <n v="1"/>
    <n v="1"/>
    <n v="1"/>
    <n v="0"/>
    <n v="0"/>
    <n v="0"/>
    <n v="0"/>
    <n v="0"/>
    <n v="76.8"/>
  </r>
  <r>
    <x v="544"/>
    <d v="2025-01-01T00:00:00"/>
    <x v="0"/>
    <s v="South"/>
    <s v="Desktop"/>
    <s v="Social"/>
    <s v="Basic"/>
    <n v="0"/>
    <n v="0"/>
    <n v="0"/>
    <n v="0"/>
    <n v="0"/>
    <n v="0"/>
    <n v="0"/>
    <n v="0"/>
    <n v="0"/>
  </r>
  <r>
    <x v="545"/>
    <d v="2025-03-18T00:00:00"/>
    <x v="0"/>
    <s v="East"/>
    <s v="Mobile"/>
    <s v="Paid Search"/>
    <s v="Basic"/>
    <n v="1"/>
    <n v="1"/>
    <n v="1"/>
    <n v="0"/>
    <n v="0"/>
    <n v="0"/>
    <n v="0"/>
    <n v="0"/>
    <n v="45.3"/>
  </r>
  <r>
    <x v="546"/>
    <d v="2025-05-20T00:00:00"/>
    <x v="0"/>
    <s v="North"/>
    <s v="Tablet"/>
    <s v="Paid Search"/>
    <s v="Free"/>
    <n v="1"/>
    <n v="0"/>
    <n v="0"/>
    <n v="0"/>
    <n v="0"/>
    <n v="0"/>
    <n v="0"/>
    <n v="0"/>
    <n v="41.4"/>
  </r>
  <r>
    <x v="547"/>
    <d v="2025-03-16T00:00:00"/>
    <x v="0"/>
    <s v="North"/>
    <s v="Mobile"/>
    <s v="Organic"/>
    <s v="Basic"/>
    <n v="1"/>
    <n v="0"/>
    <n v="0"/>
    <n v="0"/>
    <n v="0"/>
    <n v="0"/>
    <n v="0"/>
    <n v="0"/>
    <n v="37.1"/>
  </r>
  <r>
    <x v="548"/>
    <d v="2025-05-30T00:00:00"/>
    <x v="0"/>
    <s v="East"/>
    <s v="Desktop"/>
    <s v="Social"/>
    <s v="Free"/>
    <n v="1"/>
    <n v="0"/>
    <n v="0"/>
    <n v="0"/>
    <n v="0"/>
    <n v="0"/>
    <n v="0"/>
    <n v="0"/>
    <n v="40.700000000000003"/>
  </r>
  <r>
    <x v="549"/>
    <d v="2025-02-20T00:00:00"/>
    <x v="0"/>
    <s v="North"/>
    <s v="Mobile"/>
    <s v="Social"/>
    <s v="Premium"/>
    <n v="0"/>
    <n v="0"/>
    <n v="0"/>
    <n v="0"/>
    <n v="0"/>
    <n v="2"/>
    <n v="0"/>
    <n v="0"/>
    <n v="55.9"/>
  </r>
  <r>
    <x v="550"/>
    <d v="2025-02-11T00:00:00"/>
    <x v="0"/>
    <s v="East"/>
    <s v="Unknown"/>
    <s v="Social"/>
    <s v="Free"/>
    <n v="1"/>
    <n v="1"/>
    <n v="0"/>
    <n v="0"/>
    <n v="0"/>
    <n v="0"/>
    <n v="0"/>
    <n v="0"/>
    <n v="55.8"/>
  </r>
  <r>
    <x v="551"/>
    <d v="2025-01-02T00:00:00"/>
    <x v="0"/>
    <s v="South"/>
    <s v="Tablet"/>
    <s v="Referral"/>
    <s v="Basic"/>
    <n v="1"/>
    <n v="0"/>
    <n v="0"/>
    <n v="0"/>
    <n v="0"/>
    <n v="0"/>
    <n v="0"/>
    <n v="0"/>
    <n v="64.3"/>
  </r>
  <r>
    <x v="552"/>
    <d v="2025-05-03T00:00:00"/>
    <x v="0"/>
    <s v="North"/>
    <s v="Mobile"/>
    <s v="Organic"/>
    <s v="Free"/>
    <n v="0"/>
    <n v="0"/>
    <n v="0"/>
    <n v="0"/>
    <n v="0"/>
    <n v="0"/>
    <n v="0"/>
    <n v="0"/>
    <n v="65.400000000000006"/>
  </r>
  <r>
    <x v="553"/>
    <d v="2025-02-24T00:00:00"/>
    <x v="0"/>
    <s v="West"/>
    <s v="Mobile"/>
    <s v="Organic"/>
    <s v="Free"/>
    <n v="1"/>
    <n v="0"/>
    <n v="0"/>
    <n v="0"/>
    <n v="0"/>
    <n v="0"/>
    <n v="0"/>
    <n v="0"/>
    <n v="89.8"/>
  </r>
  <r>
    <x v="554"/>
    <d v="2025-02-11T00:00:00"/>
    <x v="0"/>
    <s v="South"/>
    <s v="Unknown"/>
    <s v="Organic"/>
    <s v="Free"/>
    <n v="1"/>
    <n v="1"/>
    <n v="1"/>
    <n v="0"/>
    <n v="0"/>
    <n v="0"/>
    <n v="0"/>
    <n v="0"/>
    <n v="58.3"/>
  </r>
  <r>
    <x v="555"/>
    <d v="2025-05-06T00:00:00"/>
    <x v="0"/>
    <s v="South"/>
    <s v="Mobile"/>
    <s v="Social"/>
    <s v="Basic"/>
    <n v="1"/>
    <n v="0"/>
    <n v="0"/>
    <n v="0"/>
    <n v="0"/>
    <n v="0"/>
    <n v="0"/>
    <n v="0"/>
    <n v="64.400000000000006"/>
  </r>
  <r>
    <x v="556"/>
    <d v="2025-05-23T00:00:00"/>
    <x v="0"/>
    <s v="North"/>
    <s v="Mobile"/>
    <s v="Paid Search"/>
    <s v="Premium"/>
    <n v="0"/>
    <n v="0"/>
    <n v="0"/>
    <n v="0"/>
    <n v="0"/>
    <n v="0"/>
    <n v="0"/>
    <n v="0"/>
    <n v="46.2"/>
  </r>
  <r>
    <x v="557"/>
    <d v="2025-01-09T00:00:00"/>
    <x v="0"/>
    <s v="North"/>
    <s v="Desktop"/>
    <s v="Paid Search"/>
    <s v="Free"/>
    <n v="0"/>
    <n v="0"/>
    <n v="0"/>
    <n v="0"/>
    <n v="0"/>
    <n v="0"/>
    <n v="0"/>
    <n v="0"/>
    <n v="78"/>
  </r>
  <r>
    <x v="558"/>
    <d v="2025-04-01T00:00:00"/>
    <x v="0"/>
    <s v="North"/>
    <s v="Desktop"/>
    <s v="Organic"/>
    <s v="Premium"/>
    <n v="1"/>
    <n v="0"/>
    <n v="0"/>
    <n v="0"/>
    <n v="0"/>
    <n v="0"/>
    <n v="0"/>
    <n v="0"/>
    <n v="62.3"/>
  </r>
  <r>
    <x v="559"/>
    <d v="2025-03-08T00:00:00"/>
    <x v="0"/>
    <s v="North"/>
    <s v="Mobile"/>
    <s v="Organic"/>
    <s v="Free"/>
    <n v="1"/>
    <n v="0"/>
    <n v="0"/>
    <n v="0"/>
    <n v="0"/>
    <n v="0"/>
    <n v="0"/>
    <n v="0"/>
    <n v="78.8"/>
  </r>
  <r>
    <x v="560"/>
    <d v="2025-02-20T00:00:00"/>
    <x v="0"/>
    <s v="North"/>
    <s v="Mobile"/>
    <s v="Social"/>
    <s v="Basic"/>
    <n v="1"/>
    <n v="0"/>
    <n v="0"/>
    <n v="0"/>
    <n v="0"/>
    <n v="0"/>
    <n v="0"/>
    <n v="0"/>
    <n v="25"/>
  </r>
  <r>
    <x v="561"/>
    <d v="2025-03-30T00:00:00"/>
    <x v="0"/>
    <s v="East"/>
    <s v="Mobile"/>
    <s v="Social"/>
    <s v="Basic"/>
    <n v="0"/>
    <n v="0"/>
    <n v="0"/>
    <n v="0"/>
    <n v="0"/>
    <n v="0"/>
    <n v="0"/>
    <n v="0"/>
    <n v="53.4"/>
  </r>
  <r>
    <x v="562"/>
    <d v="2025-04-10T00:00:00"/>
    <x v="0"/>
    <s v="East"/>
    <s v="Desktop"/>
    <s v="Organic"/>
    <s v="Basic"/>
    <n v="0"/>
    <n v="0"/>
    <n v="0"/>
    <n v="0"/>
    <n v="0"/>
    <n v="0"/>
    <n v="0"/>
    <n v="0"/>
    <n v="40.700000000000003"/>
  </r>
  <r>
    <x v="563"/>
    <d v="2025-03-24T00:00:00"/>
    <x v="0"/>
    <s v="East"/>
    <s v="Mobile"/>
    <s v="Organic"/>
    <s v="Premium"/>
    <n v="1"/>
    <n v="1"/>
    <n v="0"/>
    <n v="0"/>
    <n v="0"/>
    <n v="0"/>
    <n v="0"/>
    <n v="0"/>
    <n v="36.700000000000003"/>
  </r>
  <r>
    <x v="564"/>
    <d v="2025-05-21T00:00:00"/>
    <x v="0"/>
    <s v="West"/>
    <s v="Mobile"/>
    <s v="Organic"/>
    <s v="Basic"/>
    <n v="1"/>
    <n v="0"/>
    <n v="0"/>
    <n v="0"/>
    <n v="0"/>
    <n v="1"/>
    <n v="0"/>
    <n v="0"/>
    <n v="67.5"/>
  </r>
  <r>
    <x v="565"/>
    <d v="2025-03-29T00:00:00"/>
    <x v="0"/>
    <s v="East"/>
    <s v="Mobile"/>
    <s v="Social"/>
    <s v="Premium"/>
    <n v="1"/>
    <n v="1"/>
    <n v="1"/>
    <n v="0"/>
    <n v="0"/>
    <n v="0"/>
    <n v="0"/>
    <n v="0"/>
    <n v="69.900000000000006"/>
  </r>
  <r>
    <x v="566"/>
    <d v="2025-02-23T00:00:00"/>
    <x v="0"/>
    <s v="North"/>
    <s v="Tablet"/>
    <s v="Referral"/>
    <s v="Basic"/>
    <n v="1"/>
    <n v="0"/>
    <n v="0"/>
    <n v="0"/>
    <n v="0"/>
    <n v="0"/>
    <n v="0"/>
    <n v="0"/>
    <n v="65.099999999999994"/>
  </r>
  <r>
    <x v="567"/>
    <d v="2025-02-16T00:00:00"/>
    <x v="0"/>
    <s v="West"/>
    <s v="Mobile"/>
    <s v="Paid Search"/>
    <s v="Premium"/>
    <n v="1"/>
    <n v="0"/>
    <n v="0"/>
    <n v="0"/>
    <n v="0"/>
    <n v="0"/>
    <n v="0"/>
    <n v="0"/>
    <n v="48.7"/>
  </r>
  <r>
    <x v="568"/>
    <d v="2025-02-21T00:00:00"/>
    <x v="0"/>
    <s v="West"/>
    <s v="Desktop"/>
    <s v="Organic"/>
    <s v="Basic"/>
    <n v="1"/>
    <n v="1"/>
    <n v="0"/>
    <n v="0"/>
    <n v="0"/>
    <n v="0"/>
    <n v="0"/>
    <n v="0"/>
    <n v="47.2"/>
  </r>
  <r>
    <x v="569"/>
    <d v="2025-01-07T00:00:00"/>
    <x v="0"/>
    <s v="North"/>
    <s v="Mobile"/>
    <s v="Referral"/>
    <s v="Free"/>
    <n v="1"/>
    <n v="0"/>
    <n v="0"/>
    <n v="0"/>
    <n v="0"/>
    <n v="2"/>
    <n v="0"/>
    <n v="0"/>
    <n v="20.3"/>
  </r>
  <r>
    <x v="570"/>
    <d v="2025-03-06T00:00:00"/>
    <x v="0"/>
    <s v="West"/>
    <s v="Mobile"/>
    <s v="Paid Search"/>
    <s v="Free"/>
    <n v="0"/>
    <n v="0"/>
    <n v="0"/>
    <n v="0"/>
    <n v="0"/>
    <n v="1"/>
    <n v="0"/>
    <n v="0"/>
    <n v="57.8"/>
  </r>
  <r>
    <x v="571"/>
    <d v="2025-03-30T00:00:00"/>
    <x v="0"/>
    <s v="East"/>
    <s v="Mobile"/>
    <s v="Email"/>
    <s v="Basic"/>
    <n v="1"/>
    <n v="0"/>
    <n v="0"/>
    <n v="0"/>
    <n v="0"/>
    <n v="0"/>
    <n v="0"/>
    <n v="0"/>
    <n v="78.7"/>
  </r>
  <r>
    <x v="572"/>
    <d v="2025-05-31T00:00:00"/>
    <x v="0"/>
    <s v="South"/>
    <s v="Desktop"/>
    <s v="Organic"/>
    <s v="Free"/>
    <n v="1"/>
    <n v="0"/>
    <n v="0"/>
    <n v="0"/>
    <n v="0"/>
    <n v="0"/>
    <n v="0"/>
    <n v="0"/>
    <n v="63.6"/>
  </r>
  <r>
    <x v="573"/>
    <d v="2025-02-20T00:00:00"/>
    <x v="0"/>
    <s v="South"/>
    <s v="Mobile"/>
    <s v="Email"/>
    <s v="Free"/>
    <n v="0"/>
    <n v="0"/>
    <n v="0"/>
    <n v="0"/>
    <n v="0"/>
    <n v="2"/>
    <n v="0"/>
    <n v="0"/>
    <n v="45.1"/>
  </r>
  <r>
    <x v="574"/>
    <d v="2025-01-13T00:00:00"/>
    <x v="0"/>
    <s v="West"/>
    <s v="Mobile"/>
    <s v="Social"/>
    <s v="Free"/>
    <n v="0"/>
    <n v="0"/>
    <n v="0"/>
    <n v="0"/>
    <n v="0"/>
    <n v="0"/>
    <n v="0"/>
    <n v="0"/>
    <n v="77.5"/>
  </r>
  <r>
    <x v="575"/>
    <d v="2025-05-13T00:00:00"/>
    <x v="0"/>
    <s v="East"/>
    <s v="Desktop"/>
    <s v="Paid Search"/>
    <s v="Basic"/>
    <n v="1"/>
    <n v="1"/>
    <n v="0"/>
    <n v="0"/>
    <n v="0"/>
    <n v="0"/>
    <n v="0"/>
    <n v="0"/>
    <n v="58"/>
  </r>
  <r>
    <x v="576"/>
    <d v="2025-04-21T00:00:00"/>
    <x v="0"/>
    <s v="South"/>
    <s v="Tablet"/>
    <s v="Organic"/>
    <s v="Free"/>
    <n v="1"/>
    <n v="0"/>
    <n v="0"/>
    <n v="0"/>
    <n v="0"/>
    <n v="0"/>
    <n v="0"/>
    <n v="0"/>
    <n v="68.099999999999994"/>
  </r>
  <r>
    <x v="577"/>
    <d v="2025-03-01T00:00:00"/>
    <x v="0"/>
    <s v="East"/>
    <s v="Tablet"/>
    <s v="Organic"/>
    <s v="Premium"/>
    <n v="1"/>
    <n v="0"/>
    <n v="0"/>
    <n v="0"/>
    <n v="0"/>
    <n v="0"/>
    <n v="0"/>
    <n v="0"/>
    <n v="35.4"/>
  </r>
  <r>
    <x v="578"/>
    <d v="2025-03-10T00:00:00"/>
    <x v="0"/>
    <s v="West"/>
    <s v="Tablet"/>
    <s v="Organic"/>
    <s v="Free"/>
    <n v="0"/>
    <n v="0"/>
    <n v="0"/>
    <n v="0"/>
    <n v="0"/>
    <n v="0"/>
    <n v="0"/>
    <n v="0"/>
    <n v="47"/>
  </r>
  <r>
    <x v="579"/>
    <d v="2025-03-08T00:00:00"/>
    <x v="0"/>
    <s v="East"/>
    <s v="Desktop"/>
    <s v="Paid Search"/>
    <s v="Free"/>
    <n v="0"/>
    <n v="0"/>
    <n v="0"/>
    <n v="0"/>
    <n v="0"/>
    <n v="0"/>
    <n v="0"/>
    <n v="0"/>
    <n v="75"/>
  </r>
  <r>
    <x v="580"/>
    <d v="2025-05-26T00:00:00"/>
    <x v="0"/>
    <s v="South"/>
    <s v="Desktop"/>
    <s v="Paid Search"/>
    <s v="Free"/>
    <n v="1"/>
    <n v="1"/>
    <n v="1"/>
    <n v="0"/>
    <n v="0"/>
    <n v="3"/>
    <n v="0"/>
    <n v="0"/>
    <n v="50.2"/>
  </r>
  <r>
    <x v="581"/>
    <d v="2025-05-20T00:00:00"/>
    <x v="0"/>
    <s v="East"/>
    <s v="Desktop"/>
    <s v="Paid Search"/>
    <s v="Free"/>
    <n v="1"/>
    <n v="0"/>
    <n v="0"/>
    <n v="0"/>
    <n v="0"/>
    <n v="0"/>
    <n v="0"/>
    <n v="0"/>
    <n v="40.1"/>
  </r>
  <r>
    <x v="582"/>
    <d v="2025-03-22T00:00:00"/>
    <x v="0"/>
    <s v="West"/>
    <s v="Desktop"/>
    <s v="Paid Search"/>
    <s v="Free"/>
    <n v="0"/>
    <n v="0"/>
    <n v="0"/>
    <n v="0"/>
    <n v="0"/>
    <n v="0"/>
    <n v="0"/>
    <n v="0"/>
    <n v="61.1"/>
  </r>
  <r>
    <x v="583"/>
    <d v="2025-02-15T00:00:00"/>
    <x v="0"/>
    <s v="South"/>
    <s v="Desktop"/>
    <s v="Paid Search"/>
    <s v="Free"/>
    <n v="0"/>
    <n v="0"/>
    <n v="0"/>
    <n v="0"/>
    <n v="0"/>
    <n v="0"/>
    <n v="0"/>
    <n v="0"/>
    <n v="42.4"/>
  </r>
  <r>
    <x v="584"/>
    <d v="2025-01-08T00:00:00"/>
    <x v="0"/>
    <s v="North"/>
    <s v="Mobile"/>
    <s v="Social"/>
    <s v="Free"/>
    <n v="0"/>
    <n v="0"/>
    <n v="0"/>
    <n v="0"/>
    <n v="0"/>
    <n v="1"/>
    <n v="0"/>
    <n v="0"/>
    <n v="46.6"/>
  </r>
  <r>
    <x v="585"/>
    <d v="2025-01-29T00:00:00"/>
    <x v="0"/>
    <s v="South"/>
    <s v="Mobile"/>
    <s v="Organic"/>
    <s v="Premium"/>
    <n v="1"/>
    <n v="1"/>
    <n v="0"/>
    <n v="0"/>
    <n v="0"/>
    <n v="0"/>
    <n v="0"/>
    <n v="0"/>
    <n v="72.099999999999994"/>
  </r>
  <r>
    <x v="586"/>
    <d v="2025-05-07T00:00:00"/>
    <x v="0"/>
    <s v="East"/>
    <s v="Tablet"/>
    <s v="Organic"/>
    <s v="Free"/>
    <n v="0"/>
    <n v="0"/>
    <n v="0"/>
    <n v="0"/>
    <n v="0"/>
    <n v="0"/>
    <n v="0"/>
    <n v="0"/>
    <n v="21.5"/>
  </r>
  <r>
    <x v="587"/>
    <d v="2025-03-01T00:00:00"/>
    <x v="0"/>
    <s v="North"/>
    <s v="Mobile"/>
    <s v="Social"/>
    <s v="Basic"/>
    <n v="1"/>
    <n v="0"/>
    <n v="0"/>
    <n v="0"/>
    <n v="0"/>
    <n v="1"/>
    <n v="0"/>
    <n v="0"/>
    <n v="65.400000000000006"/>
  </r>
  <r>
    <x v="588"/>
    <d v="2025-04-20T00:00:00"/>
    <x v="0"/>
    <s v="East"/>
    <s v="Mobile"/>
    <s v="Organic"/>
    <s v="Free"/>
    <n v="1"/>
    <n v="1"/>
    <n v="0"/>
    <n v="0"/>
    <n v="0"/>
    <n v="0"/>
    <n v="0"/>
    <n v="0"/>
    <n v="53.3"/>
  </r>
  <r>
    <x v="589"/>
    <d v="2025-01-16T00:00:00"/>
    <x v="0"/>
    <s v="East"/>
    <s v="Mobile"/>
    <s v="Organic"/>
    <s v="Premium"/>
    <n v="0"/>
    <n v="0"/>
    <n v="0"/>
    <n v="0"/>
    <n v="0"/>
    <n v="2"/>
    <n v="0"/>
    <n v="0"/>
    <n v="52.3"/>
  </r>
  <r>
    <x v="590"/>
    <d v="2025-04-04T00:00:00"/>
    <x v="0"/>
    <s v="East"/>
    <s v="Mobile"/>
    <s v="Paid Search"/>
    <s v="Free"/>
    <n v="1"/>
    <n v="0"/>
    <n v="0"/>
    <n v="0"/>
    <n v="0"/>
    <n v="0"/>
    <n v="0"/>
    <n v="0"/>
    <n v="62.5"/>
  </r>
  <r>
    <x v="591"/>
    <d v="2025-01-29T00:00:00"/>
    <x v="0"/>
    <s v="North"/>
    <s v="Tablet"/>
    <s v="Social"/>
    <s v="Free"/>
    <n v="1"/>
    <n v="0"/>
    <n v="0"/>
    <n v="0"/>
    <n v="0"/>
    <n v="0"/>
    <n v="0"/>
    <n v="0"/>
    <n v="69.8"/>
  </r>
  <r>
    <x v="592"/>
    <d v="2025-04-19T00:00:00"/>
    <x v="0"/>
    <s v="East"/>
    <s v="Mobile"/>
    <s v="Email"/>
    <s v="Free"/>
    <n v="1"/>
    <n v="0"/>
    <n v="0"/>
    <n v="0"/>
    <n v="0"/>
    <n v="0"/>
    <n v="0"/>
    <n v="0"/>
    <n v="68.2"/>
  </r>
  <r>
    <x v="593"/>
    <d v="2025-03-10T00:00:00"/>
    <x v="0"/>
    <s v="South"/>
    <s v="Mobile"/>
    <s v="Social"/>
    <s v="Basic"/>
    <n v="1"/>
    <n v="1"/>
    <n v="1"/>
    <n v="1"/>
    <n v="751.73"/>
    <n v="0"/>
    <n v="0"/>
    <n v="6"/>
    <n v="35.200000000000003"/>
  </r>
  <r>
    <x v="594"/>
    <d v="2025-05-10T00:00:00"/>
    <x v="0"/>
    <s v="South"/>
    <s v="Mobile"/>
    <s v="Social"/>
    <s v="Basic"/>
    <n v="0"/>
    <n v="0"/>
    <n v="0"/>
    <n v="0"/>
    <n v="0"/>
    <n v="0"/>
    <n v="0"/>
    <n v="0"/>
    <n v="59.3"/>
  </r>
  <r>
    <x v="595"/>
    <d v="2025-02-02T00:00:00"/>
    <x v="0"/>
    <s v="North"/>
    <s v="Mobile"/>
    <s v="Social"/>
    <s v="Free"/>
    <n v="0"/>
    <n v="0"/>
    <n v="0"/>
    <n v="0"/>
    <n v="0"/>
    <n v="0"/>
    <n v="0"/>
    <n v="0"/>
    <n v="68.099999999999994"/>
  </r>
  <r>
    <x v="596"/>
    <d v="2025-05-06T00:00:00"/>
    <x v="0"/>
    <s v="North"/>
    <s v="Desktop"/>
    <s v="Organic"/>
    <s v="Free"/>
    <n v="1"/>
    <n v="1"/>
    <n v="0"/>
    <n v="0"/>
    <n v="0"/>
    <n v="0"/>
    <n v="0"/>
    <n v="0"/>
    <n v="74.8"/>
  </r>
  <r>
    <x v="597"/>
    <d v="2025-01-19T00:00:00"/>
    <x v="0"/>
    <s v="West"/>
    <s v="Desktop"/>
    <s v="Organic"/>
    <s v="Free"/>
    <n v="1"/>
    <n v="1"/>
    <n v="1"/>
    <n v="0"/>
    <n v="0"/>
    <n v="0"/>
    <n v="0"/>
    <n v="0"/>
    <n v="61.7"/>
  </r>
  <r>
    <x v="598"/>
    <d v="2025-01-02T00:00:00"/>
    <x v="0"/>
    <s v="North"/>
    <s v="Mobile"/>
    <s v="Organic"/>
    <s v="Free"/>
    <n v="1"/>
    <n v="0"/>
    <n v="0"/>
    <n v="0"/>
    <n v="0"/>
    <n v="0"/>
    <n v="0"/>
    <n v="0"/>
    <n v="24.3"/>
  </r>
  <r>
    <x v="599"/>
    <d v="2025-05-03T00:00:00"/>
    <x v="0"/>
    <s v="South"/>
    <s v="Desktop"/>
    <s v="Paid Search"/>
    <s v="Free"/>
    <n v="0"/>
    <n v="0"/>
    <n v="0"/>
    <n v="0"/>
    <n v="0"/>
    <n v="1"/>
    <n v="0"/>
    <n v="0"/>
    <n v="61.9"/>
  </r>
  <r>
    <x v="600"/>
    <d v="2025-05-27T00:00:00"/>
    <x v="0"/>
    <s v="East"/>
    <s v="Desktop"/>
    <s v="Referral"/>
    <s v="Premium"/>
    <n v="0"/>
    <n v="0"/>
    <n v="0"/>
    <n v="0"/>
    <n v="0"/>
    <n v="2"/>
    <n v="0"/>
    <n v="0"/>
    <n v="41.7"/>
  </r>
  <r>
    <x v="601"/>
    <d v="2025-02-09T00:00:00"/>
    <x v="0"/>
    <s v="South"/>
    <s v="Desktop"/>
    <s v="Social"/>
    <s v="Free"/>
    <n v="1"/>
    <n v="0"/>
    <n v="0"/>
    <n v="0"/>
    <n v="0"/>
    <n v="0"/>
    <n v="0"/>
    <n v="0"/>
    <n v="87.6"/>
  </r>
  <r>
    <x v="602"/>
    <d v="2025-05-18T00:00:00"/>
    <x v="0"/>
    <s v="East"/>
    <s v="Mobile"/>
    <s v="Paid Search"/>
    <s v="Free"/>
    <n v="1"/>
    <n v="0"/>
    <n v="0"/>
    <n v="0"/>
    <n v="0"/>
    <n v="0"/>
    <n v="0"/>
    <n v="0"/>
    <n v="30.8"/>
  </r>
  <r>
    <x v="603"/>
    <d v="2025-05-17T00:00:00"/>
    <x v="0"/>
    <s v="North"/>
    <s v="Mobile"/>
    <s v="Email"/>
    <s v="Free"/>
    <n v="0"/>
    <n v="0"/>
    <n v="0"/>
    <n v="0"/>
    <n v="0"/>
    <n v="0"/>
    <n v="0"/>
    <n v="0"/>
    <n v="54"/>
  </r>
  <r>
    <x v="604"/>
    <d v="2025-01-25T00:00:00"/>
    <x v="0"/>
    <s v="East"/>
    <s v="Desktop"/>
    <s v="Referral"/>
    <s v="Basic"/>
    <n v="1"/>
    <n v="0"/>
    <n v="0"/>
    <n v="0"/>
    <n v="0"/>
    <n v="1"/>
    <n v="0"/>
    <n v="0"/>
    <n v="54.5"/>
  </r>
  <r>
    <x v="605"/>
    <d v="2025-05-04T00:00:00"/>
    <x v="0"/>
    <s v="West"/>
    <s v="Mobile"/>
    <s v="Paid Search"/>
    <s v="Premium"/>
    <n v="1"/>
    <n v="1"/>
    <n v="0"/>
    <n v="0"/>
    <n v="0"/>
    <n v="0"/>
    <n v="0"/>
    <n v="0"/>
    <n v="61.3"/>
  </r>
  <r>
    <x v="606"/>
    <d v="2025-04-14T00:00:00"/>
    <x v="0"/>
    <s v="West"/>
    <s v="Mobile"/>
    <s v="Organic"/>
    <s v="Free"/>
    <n v="1"/>
    <n v="0"/>
    <n v="0"/>
    <n v="0"/>
    <n v="0"/>
    <n v="0"/>
    <n v="0"/>
    <n v="0"/>
    <n v="62.7"/>
  </r>
  <r>
    <x v="607"/>
    <d v="2025-04-18T00:00:00"/>
    <x v="0"/>
    <s v="South"/>
    <s v="Mobile"/>
    <s v="Paid Search"/>
    <s v="Free"/>
    <n v="1"/>
    <n v="1"/>
    <n v="0"/>
    <n v="0"/>
    <n v="0"/>
    <n v="0"/>
    <n v="0"/>
    <n v="0"/>
    <n v="43.1"/>
  </r>
  <r>
    <x v="608"/>
    <d v="2025-02-24T00:00:00"/>
    <x v="0"/>
    <s v="South"/>
    <s v="Desktop"/>
    <s v="Email"/>
    <s v="Basic"/>
    <n v="0"/>
    <n v="0"/>
    <n v="0"/>
    <n v="0"/>
    <n v="0"/>
    <n v="0"/>
    <n v="0"/>
    <n v="0"/>
    <n v="59.9"/>
  </r>
  <r>
    <x v="609"/>
    <d v="2025-04-19T00:00:00"/>
    <x v="0"/>
    <s v="North"/>
    <s v="Tablet"/>
    <s v="Paid Search"/>
    <s v="Free"/>
    <n v="1"/>
    <n v="1"/>
    <n v="1"/>
    <n v="0"/>
    <n v="0"/>
    <n v="0"/>
    <n v="0"/>
    <n v="0"/>
    <n v="55.7"/>
  </r>
  <r>
    <x v="610"/>
    <d v="2025-03-07T00:00:00"/>
    <x v="0"/>
    <s v="South"/>
    <s v="Desktop"/>
    <s v="Organic"/>
    <s v="Basic"/>
    <n v="1"/>
    <n v="0"/>
    <n v="0"/>
    <n v="0"/>
    <n v="0"/>
    <n v="0"/>
    <n v="0"/>
    <n v="0"/>
    <n v="37.1"/>
  </r>
  <r>
    <x v="611"/>
    <d v="2025-03-09T00:00:00"/>
    <x v="0"/>
    <s v="East"/>
    <s v="Mobile"/>
    <s v="Organic"/>
    <s v="Basic"/>
    <n v="0"/>
    <n v="0"/>
    <n v="0"/>
    <n v="0"/>
    <n v="0"/>
    <n v="1"/>
    <n v="0"/>
    <n v="0"/>
    <n v="46.7"/>
  </r>
  <r>
    <x v="612"/>
    <d v="2025-05-01T00:00:00"/>
    <x v="0"/>
    <s v="South"/>
    <s v="Desktop"/>
    <s v="Organic"/>
    <s v="Basic"/>
    <n v="1"/>
    <n v="0"/>
    <n v="0"/>
    <n v="0"/>
    <n v="0"/>
    <n v="0"/>
    <n v="0"/>
    <n v="0"/>
    <n v="54.1"/>
  </r>
  <r>
    <x v="613"/>
    <d v="2025-02-09T00:00:00"/>
    <x v="0"/>
    <s v="West"/>
    <s v="Desktop"/>
    <s v="Organic"/>
    <s v="Premium"/>
    <n v="1"/>
    <n v="1"/>
    <n v="1"/>
    <n v="0"/>
    <n v="0"/>
    <n v="0"/>
    <n v="0"/>
    <n v="0"/>
    <n v="56.1"/>
  </r>
  <r>
    <x v="614"/>
    <d v="2025-05-22T00:00:00"/>
    <x v="0"/>
    <s v="West"/>
    <s v="Mobile"/>
    <s v="Referral"/>
    <s v="Premium"/>
    <n v="0"/>
    <n v="0"/>
    <n v="0"/>
    <n v="0"/>
    <n v="0"/>
    <n v="0"/>
    <n v="0"/>
    <n v="0"/>
    <n v="23.6"/>
  </r>
  <r>
    <x v="615"/>
    <d v="2025-02-11T00:00:00"/>
    <x v="0"/>
    <s v="North"/>
    <s v="Mobile"/>
    <s v="Organic"/>
    <s v="Premium"/>
    <n v="0"/>
    <n v="0"/>
    <n v="0"/>
    <n v="0"/>
    <n v="0"/>
    <n v="0"/>
    <n v="0"/>
    <n v="0"/>
    <n v="54.7"/>
  </r>
  <r>
    <x v="616"/>
    <d v="2025-04-12T00:00:00"/>
    <x v="0"/>
    <s v="North"/>
    <s v="Mobile"/>
    <s v="Referral"/>
    <s v="Basic"/>
    <n v="0"/>
    <n v="0"/>
    <n v="0"/>
    <n v="0"/>
    <n v="0"/>
    <n v="2"/>
    <n v="0"/>
    <n v="0"/>
    <n v="50.4"/>
  </r>
  <r>
    <x v="617"/>
    <d v="2025-03-01T00:00:00"/>
    <x v="0"/>
    <s v="West"/>
    <s v="Mobile"/>
    <s v="Social"/>
    <s v="Free"/>
    <n v="1"/>
    <n v="0"/>
    <n v="0"/>
    <n v="0"/>
    <n v="0"/>
    <n v="0"/>
    <n v="0"/>
    <n v="0"/>
    <n v="54.5"/>
  </r>
  <r>
    <x v="618"/>
    <d v="2025-03-17T00:00:00"/>
    <x v="0"/>
    <s v="West"/>
    <s v="Desktop"/>
    <s v="Email"/>
    <s v="Basic"/>
    <n v="0"/>
    <n v="0"/>
    <n v="0"/>
    <n v="0"/>
    <n v="0"/>
    <n v="0"/>
    <n v="0"/>
    <n v="0"/>
    <n v="58"/>
  </r>
  <r>
    <x v="619"/>
    <d v="2025-01-11T00:00:00"/>
    <x v="0"/>
    <s v="North"/>
    <s v="Mobile"/>
    <s v="Paid Search"/>
    <s v="Free"/>
    <n v="0"/>
    <n v="0"/>
    <n v="0"/>
    <n v="0"/>
    <n v="0"/>
    <n v="0"/>
    <n v="0"/>
    <n v="0"/>
    <n v="42.9"/>
  </r>
  <r>
    <x v="620"/>
    <d v="2025-02-17T00:00:00"/>
    <x v="0"/>
    <s v="South"/>
    <s v="Mobile"/>
    <s v="Social"/>
    <s v="Premium"/>
    <n v="1"/>
    <n v="0"/>
    <n v="0"/>
    <n v="0"/>
    <n v="0"/>
    <n v="0"/>
    <n v="0"/>
    <n v="0"/>
    <n v="51.1"/>
  </r>
  <r>
    <x v="621"/>
    <d v="2025-03-25T00:00:00"/>
    <x v="0"/>
    <s v="East"/>
    <s v="Mobile"/>
    <s v="Paid Search"/>
    <s v="Basic"/>
    <n v="1"/>
    <n v="1"/>
    <n v="0"/>
    <n v="0"/>
    <n v="0"/>
    <n v="0"/>
    <n v="0"/>
    <n v="0"/>
    <n v="51.8"/>
  </r>
  <r>
    <x v="622"/>
    <d v="2025-05-01T00:00:00"/>
    <x v="0"/>
    <s v="South"/>
    <s v="Mobile"/>
    <s v="Paid Search"/>
    <s v="Free"/>
    <n v="0"/>
    <n v="0"/>
    <n v="0"/>
    <n v="0"/>
    <n v="0"/>
    <n v="0"/>
    <n v="0"/>
    <n v="0"/>
    <n v="67.7"/>
  </r>
  <r>
    <x v="623"/>
    <d v="2025-04-02T00:00:00"/>
    <x v="0"/>
    <s v="East"/>
    <s v="Mobile"/>
    <s v="Organic"/>
    <s v="Basic"/>
    <n v="0"/>
    <n v="0"/>
    <n v="0"/>
    <n v="0"/>
    <n v="0"/>
    <n v="0"/>
    <n v="0"/>
    <n v="0"/>
    <n v="75.8"/>
  </r>
  <r>
    <x v="624"/>
    <d v="2025-04-05T00:00:00"/>
    <x v="0"/>
    <s v="East"/>
    <s v="Mobile"/>
    <s v="Email"/>
    <s v="Free"/>
    <n v="1"/>
    <n v="1"/>
    <n v="0"/>
    <n v="0"/>
    <n v="0"/>
    <n v="0"/>
    <n v="0"/>
    <n v="0"/>
    <n v="72.8"/>
  </r>
  <r>
    <x v="625"/>
    <d v="2025-02-24T00:00:00"/>
    <x v="0"/>
    <s v="North"/>
    <s v="Desktop"/>
    <s v="Social"/>
    <s v="Free"/>
    <n v="1"/>
    <n v="1"/>
    <n v="0"/>
    <n v="0"/>
    <n v="0"/>
    <n v="0"/>
    <n v="0"/>
    <n v="0"/>
    <n v="54.4"/>
  </r>
  <r>
    <x v="626"/>
    <d v="2025-01-24T00:00:00"/>
    <x v="0"/>
    <s v="West"/>
    <s v="Mobile"/>
    <s v="Paid Search"/>
    <s v="Basic"/>
    <n v="1"/>
    <n v="0"/>
    <n v="0"/>
    <n v="0"/>
    <n v="0"/>
    <n v="0"/>
    <n v="0"/>
    <n v="0"/>
    <n v="51.8"/>
  </r>
  <r>
    <x v="627"/>
    <d v="2025-04-10T00:00:00"/>
    <x v="0"/>
    <s v="South"/>
    <s v="Mobile"/>
    <s v="Paid Search"/>
    <s v="Free"/>
    <n v="0"/>
    <n v="0"/>
    <n v="0"/>
    <n v="0"/>
    <n v="0"/>
    <n v="0"/>
    <n v="0"/>
    <n v="0"/>
    <n v="40.299999999999997"/>
  </r>
  <r>
    <x v="628"/>
    <d v="2025-02-19T00:00:00"/>
    <x v="0"/>
    <s v="South"/>
    <s v="Mobile"/>
    <s v="Referral"/>
    <s v="Free"/>
    <n v="1"/>
    <n v="1"/>
    <n v="1"/>
    <n v="0"/>
    <n v="0"/>
    <n v="0"/>
    <n v="0"/>
    <n v="0"/>
    <n v="61.7"/>
  </r>
  <r>
    <x v="629"/>
    <d v="2025-03-22T00:00:00"/>
    <x v="0"/>
    <s v="North"/>
    <s v="Mobile"/>
    <s v="Social"/>
    <s v="Free"/>
    <n v="0"/>
    <n v="0"/>
    <n v="0"/>
    <n v="0"/>
    <n v="0"/>
    <n v="0"/>
    <n v="0"/>
    <n v="0"/>
    <n v="45"/>
  </r>
  <r>
    <x v="630"/>
    <d v="2025-04-08T00:00:00"/>
    <x v="0"/>
    <s v="East"/>
    <s v="Desktop"/>
    <s v="Organic"/>
    <s v="Premium"/>
    <n v="1"/>
    <n v="1"/>
    <n v="1"/>
    <n v="0"/>
    <n v="0"/>
    <n v="0"/>
    <n v="0"/>
    <n v="0"/>
    <n v="60"/>
  </r>
  <r>
    <x v="631"/>
    <d v="2025-03-16T00:00:00"/>
    <x v="0"/>
    <s v="North"/>
    <s v="Mobile"/>
    <s v="Social"/>
    <s v="Free"/>
    <n v="1"/>
    <n v="0"/>
    <n v="0"/>
    <n v="0"/>
    <n v="0"/>
    <n v="0"/>
    <n v="0"/>
    <n v="0"/>
    <n v="0"/>
  </r>
  <r>
    <x v="632"/>
    <d v="2025-03-07T00:00:00"/>
    <x v="0"/>
    <s v="East"/>
    <s v="Mobile"/>
    <s v="Paid Search"/>
    <s v="Free"/>
    <n v="1"/>
    <n v="0"/>
    <n v="0"/>
    <n v="0"/>
    <n v="0"/>
    <n v="0"/>
    <n v="0"/>
    <n v="0"/>
    <n v="55.5"/>
  </r>
  <r>
    <x v="633"/>
    <d v="2025-03-16T00:00:00"/>
    <x v="0"/>
    <s v="South"/>
    <s v="Mobile"/>
    <s v="Referral"/>
    <s v="Basic"/>
    <n v="0"/>
    <n v="0"/>
    <n v="0"/>
    <n v="0"/>
    <n v="0"/>
    <n v="0"/>
    <n v="0"/>
    <n v="0"/>
    <n v="51.8"/>
  </r>
  <r>
    <x v="634"/>
    <d v="2025-05-26T00:00:00"/>
    <x v="0"/>
    <s v="East"/>
    <s v="Mobile"/>
    <s v="Unknown"/>
    <s v="Premium"/>
    <n v="1"/>
    <n v="0"/>
    <n v="0"/>
    <n v="0"/>
    <n v="0"/>
    <n v="3"/>
    <n v="0"/>
    <n v="0"/>
    <n v="56"/>
  </r>
  <r>
    <x v="635"/>
    <d v="2025-01-14T00:00:00"/>
    <x v="0"/>
    <s v="West"/>
    <s v="Mobile"/>
    <s v="Organic"/>
    <s v="Free"/>
    <n v="0"/>
    <n v="0"/>
    <n v="0"/>
    <n v="0"/>
    <n v="0"/>
    <n v="0"/>
    <n v="0"/>
    <n v="0"/>
    <n v="52.5"/>
  </r>
  <r>
    <x v="636"/>
    <d v="2025-03-30T00:00:00"/>
    <x v="0"/>
    <s v="West"/>
    <s v="Mobile"/>
    <s v="Paid Search"/>
    <s v="Premium"/>
    <n v="1"/>
    <n v="0"/>
    <n v="0"/>
    <n v="0"/>
    <n v="0"/>
    <n v="0"/>
    <n v="0"/>
    <n v="0"/>
    <n v="42.5"/>
  </r>
  <r>
    <x v="637"/>
    <d v="2025-05-12T00:00:00"/>
    <x v="0"/>
    <s v="East"/>
    <s v="Desktop"/>
    <s v="Email"/>
    <s v="Free"/>
    <n v="1"/>
    <n v="1"/>
    <n v="1"/>
    <n v="0"/>
    <n v="0"/>
    <n v="0"/>
    <n v="0"/>
    <n v="0"/>
    <n v="65.3"/>
  </r>
  <r>
    <x v="638"/>
    <d v="2025-05-10T00:00:00"/>
    <x v="0"/>
    <s v="West"/>
    <s v="Mobile"/>
    <s v="Paid Search"/>
    <s v="Free"/>
    <n v="0"/>
    <n v="0"/>
    <n v="0"/>
    <n v="0"/>
    <n v="0"/>
    <n v="0"/>
    <n v="0"/>
    <n v="0"/>
    <n v="37.6"/>
  </r>
  <r>
    <x v="639"/>
    <d v="2025-04-09T00:00:00"/>
    <x v="0"/>
    <s v="East"/>
    <s v="Mobile"/>
    <s v="Social"/>
    <s v="Basic"/>
    <n v="0"/>
    <n v="0"/>
    <n v="0"/>
    <n v="0"/>
    <n v="0"/>
    <n v="0"/>
    <n v="0"/>
    <n v="0"/>
    <n v="57.8"/>
  </r>
  <r>
    <x v="640"/>
    <d v="2025-05-26T00:00:00"/>
    <x v="0"/>
    <s v="North"/>
    <s v="Mobile"/>
    <s v="Social"/>
    <s v="Free"/>
    <n v="1"/>
    <n v="0"/>
    <n v="0"/>
    <n v="0"/>
    <n v="0"/>
    <n v="0"/>
    <n v="0"/>
    <n v="0"/>
    <n v="52.7"/>
  </r>
  <r>
    <x v="641"/>
    <d v="2025-02-12T00:00:00"/>
    <x v="0"/>
    <s v="North"/>
    <s v="Mobile"/>
    <s v="Organic"/>
    <s v="Free"/>
    <n v="1"/>
    <n v="0"/>
    <n v="0"/>
    <n v="0"/>
    <n v="0"/>
    <n v="0"/>
    <n v="0"/>
    <n v="0"/>
    <n v="51.7"/>
  </r>
  <r>
    <x v="642"/>
    <d v="2025-04-01T00:00:00"/>
    <x v="0"/>
    <s v="North"/>
    <s v="Desktop"/>
    <s v="Email"/>
    <s v="Basic"/>
    <n v="0"/>
    <n v="0"/>
    <n v="0"/>
    <n v="0"/>
    <n v="0"/>
    <n v="0"/>
    <n v="0"/>
    <n v="0"/>
    <n v="57"/>
  </r>
  <r>
    <x v="643"/>
    <d v="2025-01-18T00:00:00"/>
    <x v="0"/>
    <s v="South"/>
    <s v="Desktop"/>
    <s v="Organic"/>
    <s v="Basic"/>
    <n v="0"/>
    <n v="0"/>
    <n v="0"/>
    <n v="0"/>
    <n v="0"/>
    <n v="0"/>
    <n v="0"/>
    <n v="0"/>
    <n v="39.5"/>
  </r>
  <r>
    <x v="644"/>
    <d v="2025-04-06T00:00:00"/>
    <x v="0"/>
    <s v="East"/>
    <s v="Tablet"/>
    <s v="Organic"/>
    <s v="Free"/>
    <n v="1"/>
    <n v="0"/>
    <n v="0"/>
    <n v="0"/>
    <n v="0"/>
    <n v="0"/>
    <n v="0"/>
    <n v="0"/>
    <n v="76.5"/>
  </r>
  <r>
    <x v="645"/>
    <d v="2025-04-17T00:00:00"/>
    <x v="0"/>
    <s v="East"/>
    <s v="Mobile"/>
    <s v="Organic"/>
    <s v="Free"/>
    <n v="1"/>
    <n v="0"/>
    <n v="0"/>
    <n v="0"/>
    <n v="0"/>
    <n v="0"/>
    <n v="0"/>
    <n v="0"/>
    <n v="32.4"/>
  </r>
  <r>
    <x v="646"/>
    <d v="2025-02-07T00:00:00"/>
    <x v="0"/>
    <s v="North"/>
    <s v="Desktop"/>
    <s v="Paid Search"/>
    <s v="Free"/>
    <n v="0"/>
    <n v="0"/>
    <n v="0"/>
    <n v="0"/>
    <n v="0"/>
    <n v="0"/>
    <n v="0"/>
    <n v="0"/>
    <n v="58.6"/>
  </r>
  <r>
    <x v="647"/>
    <d v="2025-03-04T00:00:00"/>
    <x v="0"/>
    <s v="East"/>
    <s v="Mobile"/>
    <s v="Organic"/>
    <s v="Basic"/>
    <n v="1"/>
    <n v="0"/>
    <n v="0"/>
    <n v="0"/>
    <n v="0"/>
    <n v="0"/>
    <n v="0"/>
    <n v="0"/>
    <n v="78.599999999999994"/>
  </r>
  <r>
    <x v="648"/>
    <d v="2025-02-17T00:00:00"/>
    <x v="0"/>
    <s v="North"/>
    <s v="Desktop"/>
    <s v="Organic"/>
    <s v="Premium"/>
    <n v="0"/>
    <n v="0"/>
    <n v="0"/>
    <n v="0"/>
    <n v="0"/>
    <n v="0"/>
    <n v="0"/>
    <n v="0"/>
    <n v="54.5"/>
  </r>
  <r>
    <x v="649"/>
    <d v="2025-05-06T00:00:00"/>
    <x v="0"/>
    <s v="South"/>
    <s v="Mobile"/>
    <s v="Referral"/>
    <s v="Free"/>
    <n v="1"/>
    <n v="0"/>
    <n v="0"/>
    <n v="0"/>
    <n v="0"/>
    <n v="0"/>
    <n v="0"/>
    <n v="0"/>
    <n v="57.6"/>
  </r>
  <r>
    <x v="650"/>
    <d v="2025-03-25T00:00:00"/>
    <x v="0"/>
    <s v="South"/>
    <s v="Mobile"/>
    <s v="Referral"/>
    <s v="Premium"/>
    <n v="0"/>
    <n v="0"/>
    <n v="0"/>
    <n v="0"/>
    <n v="0"/>
    <n v="0"/>
    <n v="0"/>
    <n v="0"/>
    <n v="52.8"/>
  </r>
  <r>
    <x v="651"/>
    <d v="2025-03-04T00:00:00"/>
    <x v="0"/>
    <s v="West"/>
    <s v="Mobile"/>
    <s v="Email"/>
    <s v="Premium"/>
    <n v="1"/>
    <n v="0"/>
    <n v="0"/>
    <n v="0"/>
    <n v="0"/>
    <n v="0"/>
    <n v="0"/>
    <n v="0"/>
    <n v="52.9"/>
  </r>
  <r>
    <x v="652"/>
    <d v="2025-05-09T00:00:00"/>
    <x v="0"/>
    <s v="West"/>
    <s v="Mobile"/>
    <s v="Organic"/>
    <s v="Free"/>
    <n v="1"/>
    <n v="0"/>
    <n v="0"/>
    <n v="0"/>
    <n v="0"/>
    <n v="1"/>
    <n v="0"/>
    <n v="0"/>
    <n v="55.9"/>
  </r>
  <r>
    <x v="653"/>
    <d v="2025-05-17T00:00:00"/>
    <x v="0"/>
    <s v="West"/>
    <s v="Mobile"/>
    <s v="Referral"/>
    <s v="Premium"/>
    <n v="1"/>
    <n v="0"/>
    <n v="0"/>
    <n v="0"/>
    <n v="0"/>
    <n v="0"/>
    <n v="0"/>
    <n v="0"/>
    <n v="74.2"/>
  </r>
  <r>
    <x v="654"/>
    <d v="2025-01-12T00:00:00"/>
    <x v="0"/>
    <s v="West"/>
    <s v="Mobile"/>
    <s v="Organic"/>
    <s v="Free"/>
    <n v="0"/>
    <n v="0"/>
    <n v="0"/>
    <n v="0"/>
    <n v="0"/>
    <n v="0"/>
    <n v="0"/>
    <n v="0"/>
    <n v="46.3"/>
  </r>
  <r>
    <x v="655"/>
    <d v="2025-03-12T00:00:00"/>
    <x v="0"/>
    <s v="West"/>
    <s v="Mobile"/>
    <s v="Organic"/>
    <s v="Premium"/>
    <n v="1"/>
    <n v="0"/>
    <n v="0"/>
    <n v="0"/>
    <n v="0"/>
    <n v="0"/>
    <n v="0"/>
    <n v="0"/>
    <n v="62"/>
  </r>
  <r>
    <x v="656"/>
    <d v="2025-04-02T00:00:00"/>
    <x v="0"/>
    <s v="South"/>
    <s v="Mobile"/>
    <s v="Organic"/>
    <s v="Basic"/>
    <n v="0"/>
    <n v="0"/>
    <n v="0"/>
    <n v="0"/>
    <n v="0"/>
    <n v="0"/>
    <n v="0"/>
    <n v="0"/>
    <n v="55.6"/>
  </r>
  <r>
    <x v="657"/>
    <d v="2025-01-13T00:00:00"/>
    <x v="0"/>
    <s v="South"/>
    <s v="Mobile"/>
    <s v="Organic"/>
    <s v="Basic"/>
    <n v="1"/>
    <n v="0"/>
    <n v="0"/>
    <n v="0"/>
    <n v="0"/>
    <n v="0"/>
    <n v="0"/>
    <n v="0"/>
    <n v="62.8"/>
  </r>
  <r>
    <x v="658"/>
    <d v="2025-03-07T00:00:00"/>
    <x v="0"/>
    <s v="East"/>
    <s v="Mobile"/>
    <s v="Referral"/>
    <s v="Free"/>
    <n v="0"/>
    <n v="0"/>
    <n v="0"/>
    <n v="0"/>
    <n v="0"/>
    <n v="0"/>
    <n v="0"/>
    <n v="0"/>
    <n v="73.099999999999994"/>
  </r>
  <r>
    <x v="659"/>
    <d v="2025-04-20T00:00:00"/>
    <x v="0"/>
    <s v="South"/>
    <s v="Desktop"/>
    <s v="Social"/>
    <s v="Free"/>
    <n v="1"/>
    <n v="1"/>
    <n v="1"/>
    <n v="1"/>
    <n v="347.52"/>
    <n v="0"/>
    <n v="0"/>
    <n v="2"/>
    <n v="57.2"/>
  </r>
  <r>
    <x v="660"/>
    <d v="2025-01-07T00:00:00"/>
    <x v="0"/>
    <s v="South"/>
    <s v="Mobile"/>
    <s v="Paid Search"/>
    <s v="Free"/>
    <n v="1"/>
    <n v="0"/>
    <n v="0"/>
    <n v="0"/>
    <n v="0"/>
    <n v="0"/>
    <n v="0"/>
    <n v="0"/>
    <n v="67.900000000000006"/>
  </r>
  <r>
    <x v="661"/>
    <d v="2025-04-23T00:00:00"/>
    <x v="0"/>
    <s v="South"/>
    <s v="Mobile"/>
    <s v="Referral"/>
    <s v="Free"/>
    <n v="0"/>
    <n v="0"/>
    <n v="0"/>
    <n v="0"/>
    <n v="0"/>
    <n v="0"/>
    <n v="0"/>
    <n v="0"/>
    <n v="50.1"/>
  </r>
  <r>
    <x v="662"/>
    <d v="2025-05-26T00:00:00"/>
    <x v="0"/>
    <s v="North"/>
    <s v="Mobile"/>
    <s v="Paid Search"/>
    <s v="Basic"/>
    <n v="0"/>
    <n v="0"/>
    <n v="0"/>
    <n v="0"/>
    <n v="0"/>
    <n v="0"/>
    <n v="0"/>
    <n v="0"/>
    <n v="67.8"/>
  </r>
  <r>
    <x v="663"/>
    <d v="2025-03-17T00:00:00"/>
    <x v="0"/>
    <s v="North"/>
    <s v="Desktop"/>
    <s v="Social"/>
    <s v="Basic"/>
    <n v="1"/>
    <n v="1"/>
    <n v="1"/>
    <n v="0"/>
    <n v="0"/>
    <n v="0"/>
    <n v="0"/>
    <n v="0"/>
    <n v="60.8"/>
  </r>
  <r>
    <x v="664"/>
    <d v="2025-05-17T00:00:00"/>
    <x v="0"/>
    <s v="North"/>
    <s v="Desktop"/>
    <s v="Paid Search"/>
    <s v="Basic"/>
    <n v="1"/>
    <n v="0"/>
    <n v="0"/>
    <n v="0"/>
    <n v="0"/>
    <n v="3"/>
    <n v="0"/>
    <n v="0"/>
    <n v="33.700000000000003"/>
  </r>
  <r>
    <x v="665"/>
    <d v="2025-02-21T00:00:00"/>
    <x v="0"/>
    <s v="North"/>
    <s v="Mobile"/>
    <s v="Paid Search"/>
    <s v="Basic"/>
    <n v="0"/>
    <n v="0"/>
    <n v="0"/>
    <n v="0"/>
    <n v="0"/>
    <n v="0"/>
    <n v="0"/>
    <n v="0"/>
    <n v="45.2"/>
  </r>
  <r>
    <x v="666"/>
    <d v="2025-02-25T00:00:00"/>
    <x v="0"/>
    <s v="East"/>
    <s v="Desktop"/>
    <s v="Paid Search"/>
    <s v="Premium"/>
    <n v="0"/>
    <n v="0"/>
    <n v="0"/>
    <n v="0"/>
    <n v="0"/>
    <n v="0"/>
    <n v="0"/>
    <n v="0"/>
    <n v="48.2"/>
  </r>
  <r>
    <x v="667"/>
    <d v="2025-01-30T00:00:00"/>
    <x v="0"/>
    <s v="South"/>
    <s v="Mobile"/>
    <s v="Social"/>
    <s v="Free"/>
    <n v="1"/>
    <n v="1"/>
    <n v="0"/>
    <n v="0"/>
    <n v="0"/>
    <n v="1"/>
    <n v="0"/>
    <n v="0"/>
    <n v="44.8"/>
  </r>
  <r>
    <x v="668"/>
    <d v="2025-02-17T00:00:00"/>
    <x v="0"/>
    <s v="North"/>
    <s v="Tablet"/>
    <s v="Social"/>
    <s v="Basic"/>
    <n v="0"/>
    <n v="0"/>
    <n v="0"/>
    <n v="0"/>
    <n v="0"/>
    <n v="0"/>
    <n v="0"/>
    <n v="0"/>
    <n v="52.1"/>
  </r>
  <r>
    <x v="669"/>
    <d v="2025-05-17T00:00:00"/>
    <x v="0"/>
    <s v="North"/>
    <s v="Desktop"/>
    <s v="Paid Search"/>
    <s v="Basic"/>
    <n v="1"/>
    <n v="0"/>
    <n v="0"/>
    <n v="0"/>
    <n v="0"/>
    <n v="0"/>
    <n v="0"/>
    <n v="0"/>
    <n v="30.7"/>
  </r>
  <r>
    <x v="670"/>
    <d v="2025-04-30T00:00:00"/>
    <x v="0"/>
    <s v="East"/>
    <s v="Desktop"/>
    <s v="Paid Search"/>
    <s v="Free"/>
    <n v="1"/>
    <n v="0"/>
    <n v="0"/>
    <n v="0"/>
    <n v="0"/>
    <n v="0"/>
    <n v="0"/>
    <n v="0"/>
    <n v="58.4"/>
  </r>
  <r>
    <x v="671"/>
    <d v="2025-03-22T00:00:00"/>
    <x v="0"/>
    <s v="West"/>
    <s v="Mobile"/>
    <s v="Referral"/>
    <s v="Free"/>
    <n v="1"/>
    <n v="1"/>
    <n v="0"/>
    <n v="0"/>
    <n v="0"/>
    <n v="0"/>
    <n v="0"/>
    <n v="0"/>
    <n v="52.6"/>
  </r>
  <r>
    <x v="672"/>
    <d v="2025-01-10T00:00:00"/>
    <x v="0"/>
    <s v="West"/>
    <s v="Unknown"/>
    <s v="Paid Search"/>
    <s v="Free"/>
    <n v="1"/>
    <n v="0"/>
    <n v="0"/>
    <n v="0"/>
    <n v="0"/>
    <n v="1"/>
    <n v="0"/>
    <n v="0"/>
    <n v="19.100000000000001"/>
  </r>
  <r>
    <x v="673"/>
    <d v="2025-03-21T00:00:00"/>
    <x v="0"/>
    <s v="South"/>
    <s v="Unknown"/>
    <s v="Paid Search"/>
    <s v="Free"/>
    <n v="1"/>
    <n v="0"/>
    <n v="0"/>
    <n v="0"/>
    <n v="0"/>
    <n v="0"/>
    <n v="0"/>
    <n v="0"/>
    <n v="36.799999999999997"/>
  </r>
  <r>
    <x v="674"/>
    <d v="2025-05-12T00:00:00"/>
    <x v="0"/>
    <s v="North"/>
    <s v="Desktop"/>
    <s v="Paid Search"/>
    <s v="Basic"/>
    <n v="0"/>
    <n v="0"/>
    <n v="0"/>
    <n v="0"/>
    <n v="0"/>
    <n v="0"/>
    <n v="0"/>
    <n v="0"/>
    <n v="68.5"/>
  </r>
  <r>
    <x v="675"/>
    <d v="2025-05-24T00:00:00"/>
    <x v="0"/>
    <s v="West"/>
    <s v="Mobile"/>
    <s v="Paid Search"/>
    <s v="Free"/>
    <n v="1"/>
    <n v="1"/>
    <n v="1"/>
    <n v="0"/>
    <n v="0"/>
    <n v="0"/>
    <n v="0"/>
    <n v="0"/>
    <n v="40.1"/>
  </r>
  <r>
    <x v="676"/>
    <d v="2025-05-03T00:00:00"/>
    <x v="0"/>
    <s v="West"/>
    <s v="Tablet"/>
    <s v="Organic"/>
    <s v="Free"/>
    <n v="1"/>
    <n v="0"/>
    <n v="0"/>
    <n v="0"/>
    <n v="0"/>
    <n v="0"/>
    <n v="0"/>
    <n v="0"/>
    <n v="47.5"/>
  </r>
  <r>
    <x v="677"/>
    <d v="2025-01-14T00:00:00"/>
    <x v="0"/>
    <s v="South"/>
    <s v="Mobile"/>
    <s v="Organic"/>
    <s v="Basic"/>
    <n v="1"/>
    <n v="0"/>
    <n v="0"/>
    <n v="0"/>
    <n v="0"/>
    <n v="0"/>
    <n v="0"/>
    <n v="0"/>
    <n v="77.099999999999994"/>
  </r>
  <r>
    <x v="678"/>
    <d v="2025-03-27T00:00:00"/>
    <x v="0"/>
    <s v="West"/>
    <s v="Mobile"/>
    <s v="Social"/>
    <s v="Basic"/>
    <n v="1"/>
    <n v="0"/>
    <n v="0"/>
    <n v="0"/>
    <n v="0"/>
    <n v="0"/>
    <n v="0"/>
    <n v="0"/>
    <n v="75.900000000000006"/>
  </r>
  <r>
    <x v="679"/>
    <d v="2025-02-28T00:00:00"/>
    <x v="0"/>
    <s v="North"/>
    <s v="Desktop"/>
    <s v="Referral"/>
    <s v="Premium"/>
    <n v="0"/>
    <n v="0"/>
    <n v="0"/>
    <n v="0"/>
    <n v="0"/>
    <n v="1"/>
    <n v="0"/>
    <n v="0"/>
    <n v="52"/>
  </r>
  <r>
    <x v="680"/>
    <d v="2025-05-12T00:00:00"/>
    <x v="0"/>
    <s v="West"/>
    <s v="Desktop"/>
    <s v="Referral"/>
    <s v="Premium"/>
    <n v="1"/>
    <n v="1"/>
    <n v="1"/>
    <n v="0"/>
    <n v="0"/>
    <n v="0"/>
    <n v="0"/>
    <n v="0"/>
    <n v="64.900000000000006"/>
  </r>
  <r>
    <x v="681"/>
    <d v="2025-03-14T00:00:00"/>
    <x v="0"/>
    <s v="North"/>
    <s v="Mobile"/>
    <s v="Organic"/>
    <s v="Free"/>
    <n v="1"/>
    <n v="0"/>
    <n v="0"/>
    <n v="0"/>
    <n v="0"/>
    <n v="0"/>
    <n v="0"/>
    <n v="0"/>
    <n v="48.2"/>
  </r>
  <r>
    <x v="682"/>
    <d v="2025-05-20T00:00:00"/>
    <x v="0"/>
    <s v="East"/>
    <s v="Mobile"/>
    <s v="Organic"/>
    <s v="Basic"/>
    <n v="0"/>
    <n v="0"/>
    <n v="0"/>
    <n v="0"/>
    <n v="0"/>
    <n v="0"/>
    <n v="0"/>
    <n v="0"/>
    <n v="42.1"/>
  </r>
  <r>
    <x v="683"/>
    <d v="2025-02-24T00:00:00"/>
    <x v="0"/>
    <s v="South"/>
    <s v="Desktop"/>
    <s v="Referral"/>
    <s v="Free"/>
    <n v="0"/>
    <n v="0"/>
    <n v="0"/>
    <n v="0"/>
    <n v="0"/>
    <n v="0"/>
    <n v="0"/>
    <n v="0"/>
    <n v="27.6"/>
  </r>
  <r>
    <x v="684"/>
    <d v="2025-02-13T00:00:00"/>
    <x v="0"/>
    <s v="West"/>
    <s v="Mobile"/>
    <s v="Organic"/>
    <s v="Premium"/>
    <n v="1"/>
    <n v="0"/>
    <n v="0"/>
    <n v="0"/>
    <n v="0"/>
    <n v="1"/>
    <n v="0"/>
    <n v="0"/>
    <n v="68.5"/>
  </r>
  <r>
    <x v="685"/>
    <d v="2025-02-06T00:00:00"/>
    <x v="0"/>
    <s v="South"/>
    <s v="Desktop"/>
    <s v="Organic"/>
    <s v="Free"/>
    <n v="1"/>
    <n v="1"/>
    <n v="1"/>
    <n v="0"/>
    <n v="0"/>
    <n v="0"/>
    <n v="0"/>
    <n v="0"/>
    <n v="59.2"/>
  </r>
  <r>
    <x v="686"/>
    <d v="2025-03-02T00:00:00"/>
    <x v="0"/>
    <s v="North"/>
    <s v="Mobile"/>
    <s v="Social"/>
    <s v="Basic"/>
    <n v="1"/>
    <n v="0"/>
    <n v="0"/>
    <n v="0"/>
    <n v="0"/>
    <n v="0"/>
    <n v="0"/>
    <n v="0"/>
    <n v="63.3"/>
  </r>
  <r>
    <x v="687"/>
    <d v="2025-04-28T00:00:00"/>
    <x v="0"/>
    <s v="East"/>
    <s v="Desktop"/>
    <s v="Paid Search"/>
    <s v="Free"/>
    <n v="0"/>
    <n v="0"/>
    <n v="0"/>
    <n v="0"/>
    <n v="0"/>
    <n v="0"/>
    <n v="0"/>
    <n v="0"/>
    <n v="55"/>
  </r>
  <r>
    <x v="688"/>
    <d v="2025-05-27T00:00:00"/>
    <x v="0"/>
    <s v="North"/>
    <s v="Desktop"/>
    <s v="Unknown"/>
    <s v="Premium"/>
    <n v="1"/>
    <n v="0"/>
    <n v="0"/>
    <n v="0"/>
    <n v="0"/>
    <n v="0"/>
    <n v="0"/>
    <n v="0"/>
    <n v="64.8"/>
  </r>
  <r>
    <x v="689"/>
    <d v="2025-04-07T00:00:00"/>
    <x v="0"/>
    <s v="South"/>
    <s v="Desktop"/>
    <s v="Organic"/>
    <s v="Basic"/>
    <n v="0"/>
    <n v="0"/>
    <n v="0"/>
    <n v="0"/>
    <n v="0"/>
    <n v="2"/>
    <n v="0"/>
    <n v="0"/>
    <n v="41.8"/>
  </r>
  <r>
    <x v="690"/>
    <d v="2025-04-14T00:00:00"/>
    <x v="1"/>
    <s v="East"/>
    <s v="Desktop"/>
    <s v="Social"/>
    <s v="Basic"/>
    <n v="1"/>
    <n v="0"/>
    <n v="0"/>
    <n v="0"/>
    <n v="0"/>
    <n v="0"/>
    <n v="0"/>
    <n v="0"/>
    <n v="73.2"/>
  </r>
  <r>
    <x v="691"/>
    <d v="2025-05-09T00:00:00"/>
    <x v="1"/>
    <s v="East"/>
    <s v="Desktop"/>
    <s v="Organic"/>
    <s v="Basic"/>
    <n v="1"/>
    <n v="1"/>
    <n v="1"/>
    <n v="0"/>
    <n v="0"/>
    <n v="3"/>
    <n v="0"/>
    <n v="0"/>
    <n v="55.7"/>
  </r>
  <r>
    <x v="692"/>
    <d v="2025-03-21T00:00:00"/>
    <x v="1"/>
    <s v="North"/>
    <s v="Mobile"/>
    <s v="Organic"/>
    <s v="Free"/>
    <n v="1"/>
    <n v="1"/>
    <n v="1"/>
    <n v="0"/>
    <n v="0"/>
    <n v="0"/>
    <n v="0"/>
    <n v="0"/>
    <n v="82.8"/>
  </r>
  <r>
    <x v="693"/>
    <d v="2025-03-27T00:00:00"/>
    <x v="1"/>
    <s v="North"/>
    <s v="Desktop"/>
    <s v="Social"/>
    <s v="Free"/>
    <n v="1"/>
    <n v="0"/>
    <n v="0"/>
    <n v="0"/>
    <n v="0"/>
    <n v="0"/>
    <n v="0"/>
    <n v="0"/>
    <n v="0"/>
  </r>
  <r>
    <x v="694"/>
    <d v="2025-01-21T00:00:00"/>
    <x v="1"/>
    <s v="South"/>
    <s v="Mobile"/>
    <s v="Paid Search"/>
    <s v="Free"/>
    <n v="0"/>
    <n v="0"/>
    <n v="0"/>
    <n v="0"/>
    <n v="0"/>
    <n v="0"/>
    <n v="0"/>
    <n v="0"/>
    <n v="34.4"/>
  </r>
  <r>
    <x v="695"/>
    <d v="2025-03-19T00:00:00"/>
    <x v="1"/>
    <s v="East"/>
    <s v="Desktop"/>
    <s v="Email"/>
    <s v="Free"/>
    <n v="1"/>
    <n v="0"/>
    <n v="0"/>
    <n v="0"/>
    <n v="0"/>
    <n v="0"/>
    <n v="0"/>
    <n v="0"/>
    <n v="45.2"/>
  </r>
  <r>
    <x v="696"/>
    <d v="2025-05-27T00:00:00"/>
    <x v="1"/>
    <s v="North"/>
    <s v="Mobile"/>
    <s v="Organic"/>
    <s v="Basic"/>
    <n v="1"/>
    <n v="0"/>
    <n v="0"/>
    <n v="0"/>
    <n v="0"/>
    <n v="0"/>
    <n v="0"/>
    <n v="0"/>
    <n v="71.599999999999994"/>
  </r>
  <r>
    <x v="697"/>
    <d v="2025-01-01T00:00:00"/>
    <x v="1"/>
    <s v="North"/>
    <s v="Mobile"/>
    <s v="Social"/>
    <s v="Free"/>
    <n v="1"/>
    <n v="1"/>
    <n v="1"/>
    <n v="0"/>
    <n v="0"/>
    <n v="0"/>
    <n v="0"/>
    <n v="0"/>
    <n v="69.099999999999994"/>
  </r>
  <r>
    <x v="698"/>
    <d v="2025-03-29T00:00:00"/>
    <x v="1"/>
    <s v="West"/>
    <s v="Desktop"/>
    <s v="Paid Search"/>
    <s v="Premium"/>
    <n v="1"/>
    <n v="0"/>
    <n v="0"/>
    <n v="0"/>
    <n v="0"/>
    <n v="1"/>
    <n v="0"/>
    <n v="0"/>
    <n v="37.700000000000003"/>
  </r>
  <r>
    <x v="699"/>
    <d v="2025-03-17T00:00:00"/>
    <x v="1"/>
    <s v="West"/>
    <s v="Desktop"/>
    <s v="Organic"/>
    <s v="Basic"/>
    <n v="1"/>
    <n v="0"/>
    <n v="0"/>
    <n v="0"/>
    <n v="0"/>
    <n v="1"/>
    <n v="0"/>
    <n v="0"/>
    <n v="60.8"/>
  </r>
  <r>
    <x v="700"/>
    <d v="2025-05-05T00:00:00"/>
    <x v="1"/>
    <s v="North"/>
    <s v="Mobile"/>
    <s v="Organic"/>
    <s v="Free"/>
    <n v="1"/>
    <n v="1"/>
    <n v="1"/>
    <n v="1"/>
    <n v="444.13"/>
    <n v="0"/>
    <n v="0"/>
    <n v="10"/>
    <n v="80.7"/>
  </r>
  <r>
    <x v="701"/>
    <d v="2025-05-04T00:00:00"/>
    <x v="1"/>
    <s v="South"/>
    <s v="Mobile"/>
    <s v="Social"/>
    <s v="Free"/>
    <n v="1"/>
    <n v="0"/>
    <n v="0"/>
    <n v="0"/>
    <n v="0"/>
    <n v="0"/>
    <n v="0"/>
    <n v="0"/>
    <n v="69.2"/>
  </r>
  <r>
    <x v="702"/>
    <d v="2025-03-25T00:00:00"/>
    <x v="1"/>
    <s v="North"/>
    <s v="Mobile"/>
    <s v="Social"/>
    <s v="Premium"/>
    <n v="0"/>
    <n v="0"/>
    <n v="0"/>
    <n v="0"/>
    <n v="0"/>
    <n v="3"/>
    <n v="0"/>
    <n v="0"/>
    <n v="55"/>
  </r>
  <r>
    <x v="703"/>
    <d v="2025-04-17T00:00:00"/>
    <x v="1"/>
    <s v="West"/>
    <s v="Mobile"/>
    <s v="Email"/>
    <s v="Free"/>
    <n v="0"/>
    <n v="0"/>
    <n v="0"/>
    <n v="0"/>
    <n v="0"/>
    <n v="1"/>
    <n v="0"/>
    <n v="0"/>
    <n v="73.599999999999994"/>
  </r>
  <r>
    <x v="704"/>
    <d v="2025-05-23T00:00:00"/>
    <x v="1"/>
    <s v="South"/>
    <s v="Mobile"/>
    <s v="Referral"/>
    <s v="Basic"/>
    <n v="1"/>
    <n v="1"/>
    <n v="1"/>
    <n v="0"/>
    <n v="0"/>
    <n v="1"/>
    <n v="0"/>
    <n v="0"/>
    <n v="47.3"/>
  </r>
  <r>
    <x v="705"/>
    <d v="2025-01-13T00:00:00"/>
    <x v="1"/>
    <s v="North"/>
    <s v="Mobile"/>
    <s v="Organic"/>
    <s v="Basic"/>
    <n v="0"/>
    <n v="0"/>
    <n v="0"/>
    <n v="0"/>
    <n v="0"/>
    <n v="0"/>
    <n v="0"/>
    <n v="0"/>
    <n v="43.6"/>
  </r>
  <r>
    <x v="706"/>
    <d v="2025-01-29T00:00:00"/>
    <x v="1"/>
    <s v="North"/>
    <s v="Desktop"/>
    <s v="Organic"/>
    <s v="Basic"/>
    <n v="1"/>
    <n v="0"/>
    <n v="0"/>
    <n v="0"/>
    <n v="0"/>
    <n v="0"/>
    <n v="0"/>
    <n v="0"/>
    <n v="0"/>
  </r>
  <r>
    <x v="707"/>
    <d v="2025-05-11T00:00:00"/>
    <x v="1"/>
    <s v="South"/>
    <s v="Mobile"/>
    <s v="Email"/>
    <s v="Free"/>
    <n v="0"/>
    <n v="0"/>
    <n v="0"/>
    <n v="0"/>
    <n v="0"/>
    <n v="0"/>
    <n v="0"/>
    <n v="0"/>
    <n v="55.2"/>
  </r>
  <r>
    <x v="708"/>
    <d v="2025-04-22T00:00:00"/>
    <x v="1"/>
    <s v="South"/>
    <s v="Mobile"/>
    <s v="Organic"/>
    <s v="Basic"/>
    <n v="1"/>
    <n v="0"/>
    <n v="0"/>
    <n v="0"/>
    <n v="0"/>
    <n v="0"/>
    <n v="0"/>
    <n v="0"/>
    <n v="49.4"/>
  </r>
  <r>
    <x v="709"/>
    <d v="2025-03-03T00:00:00"/>
    <x v="1"/>
    <s v="South"/>
    <s v="Mobile"/>
    <s v="Social"/>
    <s v="Free"/>
    <n v="1"/>
    <n v="1"/>
    <n v="1"/>
    <n v="0"/>
    <n v="0"/>
    <n v="1"/>
    <n v="0"/>
    <n v="0"/>
    <n v="60.1"/>
  </r>
  <r>
    <x v="710"/>
    <d v="2025-03-18T00:00:00"/>
    <x v="1"/>
    <s v="North"/>
    <s v="Mobile"/>
    <s v="Referral"/>
    <s v="Free"/>
    <n v="1"/>
    <n v="0"/>
    <n v="0"/>
    <n v="0"/>
    <n v="0"/>
    <n v="0"/>
    <n v="0"/>
    <n v="0"/>
    <n v="55.9"/>
  </r>
  <r>
    <x v="711"/>
    <d v="2025-04-05T00:00:00"/>
    <x v="1"/>
    <s v="North"/>
    <s v="Mobile"/>
    <s v="Organic"/>
    <s v="Basic"/>
    <n v="1"/>
    <n v="0"/>
    <n v="0"/>
    <n v="0"/>
    <n v="0"/>
    <n v="0"/>
    <n v="0"/>
    <n v="0"/>
    <n v="51.5"/>
  </r>
  <r>
    <x v="712"/>
    <d v="2025-04-16T00:00:00"/>
    <x v="1"/>
    <s v="East"/>
    <s v="Mobile"/>
    <s v="Organic"/>
    <s v="Free"/>
    <n v="1"/>
    <n v="1"/>
    <n v="1"/>
    <n v="1"/>
    <n v="516.66999999999996"/>
    <n v="0"/>
    <n v="0"/>
    <n v="11"/>
    <n v="57.9"/>
  </r>
  <r>
    <x v="713"/>
    <d v="2025-04-20T00:00:00"/>
    <x v="1"/>
    <s v="South"/>
    <s v="Mobile"/>
    <s v="Referral"/>
    <s v="Free"/>
    <n v="1"/>
    <n v="1"/>
    <n v="1"/>
    <n v="1"/>
    <n v="277.18"/>
    <n v="2"/>
    <n v="0"/>
    <n v="8"/>
    <n v="59.2"/>
  </r>
  <r>
    <x v="714"/>
    <d v="2025-02-15T00:00:00"/>
    <x v="1"/>
    <s v="South"/>
    <s v="Mobile"/>
    <s v="Organic"/>
    <s v="Free"/>
    <n v="0"/>
    <n v="0"/>
    <n v="0"/>
    <n v="0"/>
    <n v="0"/>
    <n v="0"/>
    <n v="0"/>
    <n v="0"/>
    <n v="64.2"/>
  </r>
  <r>
    <x v="715"/>
    <d v="2025-01-21T00:00:00"/>
    <x v="1"/>
    <s v="South"/>
    <s v="Mobile"/>
    <s v="Organic"/>
    <s v="Free"/>
    <n v="1"/>
    <n v="0"/>
    <n v="0"/>
    <n v="0"/>
    <n v="0"/>
    <n v="0"/>
    <n v="0"/>
    <n v="0"/>
    <n v="68.8"/>
  </r>
  <r>
    <x v="716"/>
    <d v="2025-05-23T00:00:00"/>
    <x v="1"/>
    <s v="North"/>
    <s v="Mobile"/>
    <s v="Paid Search"/>
    <s v="Premium"/>
    <n v="1"/>
    <n v="1"/>
    <n v="1"/>
    <n v="0"/>
    <n v="0"/>
    <n v="0"/>
    <n v="0"/>
    <n v="0"/>
    <n v="77.900000000000006"/>
  </r>
  <r>
    <x v="717"/>
    <d v="2025-01-22T00:00:00"/>
    <x v="1"/>
    <s v="West"/>
    <s v="Mobile"/>
    <s v="Paid Search"/>
    <s v="Basic"/>
    <n v="0"/>
    <n v="0"/>
    <n v="0"/>
    <n v="0"/>
    <n v="0"/>
    <n v="0"/>
    <n v="0"/>
    <n v="0"/>
    <n v="92.1"/>
  </r>
  <r>
    <x v="718"/>
    <d v="2025-04-24T00:00:00"/>
    <x v="1"/>
    <s v="West"/>
    <s v="Mobile"/>
    <s v="Paid Search"/>
    <s v="Premium"/>
    <n v="0"/>
    <n v="0"/>
    <n v="0"/>
    <n v="0"/>
    <n v="0"/>
    <n v="0"/>
    <n v="0"/>
    <n v="0"/>
    <n v="63.6"/>
  </r>
  <r>
    <x v="719"/>
    <d v="2025-01-17T00:00:00"/>
    <x v="1"/>
    <s v="West"/>
    <s v="Desktop"/>
    <s v="Email"/>
    <s v="Free"/>
    <n v="0"/>
    <n v="0"/>
    <n v="0"/>
    <n v="0"/>
    <n v="0"/>
    <n v="2"/>
    <n v="0"/>
    <n v="0"/>
    <n v="61.6"/>
  </r>
  <r>
    <x v="720"/>
    <d v="2025-01-22T00:00:00"/>
    <x v="1"/>
    <s v="East"/>
    <s v="Mobile"/>
    <s v="Referral"/>
    <s v="Basic"/>
    <n v="1"/>
    <n v="1"/>
    <n v="0"/>
    <n v="0"/>
    <n v="0"/>
    <n v="0"/>
    <n v="0"/>
    <n v="0"/>
    <n v="82.3"/>
  </r>
  <r>
    <x v="721"/>
    <d v="2025-05-04T00:00:00"/>
    <x v="1"/>
    <s v="East"/>
    <s v="Desktop"/>
    <s v="Paid Search"/>
    <s v="Free"/>
    <n v="1"/>
    <n v="0"/>
    <n v="0"/>
    <n v="0"/>
    <n v="0"/>
    <n v="0"/>
    <n v="0"/>
    <n v="0"/>
    <n v="79.3"/>
  </r>
  <r>
    <x v="722"/>
    <d v="2025-03-13T00:00:00"/>
    <x v="1"/>
    <s v="South"/>
    <s v="Mobile"/>
    <s v="Unknown"/>
    <s v="Free"/>
    <n v="0"/>
    <n v="0"/>
    <n v="0"/>
    <n v="0"/>
    <n v="0"/>
    <n v="0"/>
    <n v="0"/>
    <n v="0"/>
    <n v="57.7"/>
  </r>
  <r>
    <x v="723"/>
    <d v="2025-01-02T00:00:00"/>
    <x v="1"/>
    <s v="North"/>
    <s v="Mobile"/>
    <s v="Organic"/>
    <s v="Basic"/>
    <n v="1"/>
    <n v="0"/>
    <n v="0"/>
    <n v="0"/>
    <n v="0"/>
    <n v="0"/>
    <n v="0"/>
    <n v="0"/>
    <n v="63.1"/>
  </r>
  <r>
    <x v="724"/>
    <d v="2025-01-13T00:00:00"/>
    <x v="1"/>
    <s v="East"/>
    <s v="Mobile"/>
    <s v="Paid Search"/>
    <s v="Basic"/>
    <n v="0"/>
    <n v="0"/>
    <n v="0"/>
    <n v="0"/>
    <n v="0"/>
    <n v="0"/>
    <n v="0"/>
    <n v="0"/>
    <n v="72.3"/>
  </r>
  <r>
    <x v="725"/>
    <d v="2025-02-09T00:00:00"/>
    <x v="1"/>
    <s v="East"/>
    <s v="Mobile"/>
    <s v="Social"/>
    <s v="Free"/>
    <n v="1"/>
    <n v="1"/>
    <n v="1"/>
    <n v="0"/>
    <n v="0"/>
    <n v="0"/>
    <n v="0"/>
    <n v="0"/>
    <n v="78"/>
  </r>
  <r>
    <x v="726"/>
    <d v="2025-04-09T00:00:00"/>
    <x v="1"/>
    <s v="East"/>
    <s v="Desktop"/>
    <s v="Social"/>
    <s v="Free"/>
    <n v="1"/>
    <n v="1"/>
    <n v="0"/>
    <n v="0"/>
    <n v="0"/>
    <n v="2"/>
    <n v="0"/>
    <n v="0"/>
    <n v="59.1"/>
  </r>
  <r>
    <x v="727"/>
    <d v="2025-01-02T00:00:00"/>
    <x v="1"/>
    <s v="South"/>
    <s v="Mobile"/>
    <s v="Paid Search"/>
    <s v="Free"/>
    <n v="1"/>
    <n v="1"/>
    <n v="1"/>
    <n v="1"/>
    <n v="604.09"/>
    <n v="0"/>
    <n v="0"/>
    <n v="7"/>
    <n v="47.1"/>
  </r>
  <r>
    <x v="728"/>
    <d v="2025-02-04T00:00:00"/>
    <x v="1"/>
    <s v="South"/>
    <s v="Mobile"/>
    <s v="Unknown"/>
    <s v="Premium"/>
    <n v="1"/>
    <n v="0"/>
    <n v="0"/>
    <n v="0"/>
    <n v="0"/>
    <n v="0"/>
    <n v="0"/>
    <n v="0"/>
    <n v="64.900000000000006"/>
  </r>
  <r>
    <x v="729"/>
    <d v="2025-02-19T00:00:00"/>
    <x v="1"/>
    <s v="South"/>
    <s v="Tablet"/>
    <s v="Paid Search"/>
    <s v="Free"/>
    <n v="0"/>
    <n v="0"/>
    <n v="0"/>
    <n v="0"/>
    <n v="0"/>
    <n v="0"/>
    <n v="0"/>
    <n v="0"/>
    <n v="67.3"/>
  </r>
  <r>
    <x v="730"/>
    <d v="2025-04-01T00:00:00"/>
    <x v="1"/>
    <s v="East"/>
    <s v="Mobile"/>
    <s v="Paid Search"/>
    <s v="Basic"/>
    <n v="1"/>
    <n v="0"/>
    <n v="0"/>
    <n v="0"/>
    <n v="0"/>
    <n v="2"/>
    <n v="0"/>
    <n v="0"/>
    <n v="52.9"/>
  </r>
  <r>
    <x v="731"/>
    <d v="2025-01-29T00:00:00"/>
    <x v="1"/>
    <s v="North"/>
    <s v="Mobile"/>
    <s v="Referral"/>
    <s v="Free"/>
    <n v="1"/>
    <n v="1"/>
    <n v="1"/>
    <n v="1"/>
    <n v="442.37"/>
    <n v="1"/>
    <n v="0"/>
    <n v="4"/>
    <n v="69.900000000000006"/>
  </r>
  <r>
    <x v="732"/>
    <d v="2025-05-18T00:00:00"/>
    <x v="1"/>
    <s v="North"/>
    <s v="Mobile"/>
    <s v="Referral"/>
    <s v="Basic"/>
    <n v="1"/>
    <n v="1"/>
    <n v="1"/>
    <n v="0"/>
    <n v="0"/>
    <n v="0"/>
    <n v="0"/>
    <n v="0"/>
    <n v="78.900000000000006"/>
  </r>
  <r>
    <x v="733"/>
    <d v="2025-04-15T00:00:00"/>
    <x v="1"/>
    <s v="East"/>
    <s v="Desktop"/>
    <s v="Social"/>
    <s v="Premium"/>
    <n v="1"/>
    <n v="1"/>
    <n v="0"/>
    <n v="0"/>
    <n v="0"/>
    <n v="0"/>
    <n v="0"/>
    <n v="0"/>
    <n v="83.3"/>
  </r>
  <r>
    <x v="734"/>
    <d v="2025-03-28T00:00:00"/>
    <x v="1"/>
    <s v="East"/>
    <s v="Desktop"/>
    <s v="Email"/>
    <s v="Free"/>
    <n v="1"/>
    <n v="0"/>
    <n v="0"/>
    <n v="0"/>
    <n v="0"/>
    <n v="1"/>
    <n v="0"/>
    <n v="0"/>
    <n v="24.5"/>
  </r>
  <r>
    <x v="735"/>
    <d v="2025-04-01T00:00:00"/>
    <x v="1"/>
    <s v="West"/>
    <s v="Mobile"/>
    <s v="Paid Search"/>
    <s v="Basic"/>
    <n v="1"/>
    <n v="1"/>
    <n v="0"/>
    <n v="0"/>
    <n v="0"/>
    <n v="1"/>
    <n v="0"/>
    <n v="0"/>
    <n v="56.9"/>
  </r>
  <r>
    <x v="736"/>
    <d v="2025-02-11T00:00:00"/>
    <x v="1"/>
    <s v="West"/>
    <s v="Mobile"/>
    <s v="Social"/>
    <s v="Basic"/>
    <n v="1"/>
    <n v="0"/>
    <n v="0"/>
    <n v="0"/>
    <n v="0"/>
    <n v="0"/>
    <n v="0"/>
    <n v="0"/>
    <n v="69.900000000000006"/>
  </r>
  <r>
    <x v="737"/>
    <d v="2025-03-04T00:00:00"/>
    <x v="1"/>
    <s v="South"/>
    <s v="Mobile"/>
    <s v="Organic"/>
    <s v="Free"/>
    <n v="1"/>
    <n v="1"/>
    <n v="1"/>
    <n v="0"/>
    <n v="0"/>
    <n v="0"/>
    <n v="0"/>
    <n v="0"/>
    <n v="81.5"/>
  </r>
  <r>
    <x v="738"/>
    <d v="2025-01-21T00:00:00"/>
    <x v="1"/>
    <s v="North"/>
    <s v="Tablet"/>
    <s v="Social"/>
    <s v="Basic"/>
    <n v="0"/>
    <n v="0"/>
    <n v="0"/>
    <n v="0"/>
    <n v="0"/>
    <n v="2"/>
    <n v="0"/>
    <n v="0"/>
    <n v="37.9"/>
  </r>
  <r>
    <x v="739"/>
    <d v="2025-02-14T00:00:00"/>
    <x v="1"/>
    <s v="North"/>
    <s v="Mobile"/>
    <s v="Referral"/>
    <s v="Free"/>
    <n v="0"/>
    <n v="0"/>
    <n v="0"/>
    <n v="0"/>
    <n v="0"/>
    <n v="1"/>
    <n v="0"/>
    <n v="0"/>
    <n v="61.7"/>
  </r>
  <r>
    <x v="740"/>
    <d v="2025-03-30T00:00:00"/>
    <x v="1"/>
    <s v="North"/>
    <s v="Desktop"/>
    <s v="Unknown"/>
    <s v="Premium"/>
    <n v="1"/>
    <n v="0"/>
    <n v="0"/>
    <n v="0"/>
    <n v="0"/>
    <n v="2"/>
    <n v="0"/>
    <n v="0"/>
    <n v="53.2"/>
  </r>
  <r>
    <x v="741"/>
    <d v="2025-01-08T00:00:00"/>
    <x v="1"/>
    <s v="North"/>
    <s v="Mobile"/>
    <s v="Referral"/>
    <s v="Free"/>
    <n v="0"/>
    <n v="0"/>
    <n v="0"/>
    <n v="0"/>
    <n v="0"/>
    <n v="0"/>
    <n v="0"/>
    <n v="0"/>
    <n v="61.9"/>
  </r>
  <r>
    <x v="742"/>
    <d v="2025-02-07T00:00:00"/>
    <x v="1"/>
    <s v="North"/>
    <s v="Mobile"/>
    <s v="Social"/>
    <s v="Free"/>
    <n v="1"/>
    <n v="1"/>
    <n v="1"/>
    <n v="0"/>
    <n v="0"/>
    <n v="0"/>
    <n v="0"/>
    <n v="0"/>
    <n v="68.900000000000006"/>
  </r>
  <r>
    <x v="743"/>
    <d v="2025-02-01T00:00:00"/>
    <x v="1"/>
    <s v="North"/>
    <s v="Tablet"/>
    <s v="Paid Search"/>
    <s v="Basic"/>
    <n v="0"/>
    <n v="0"/>
    <n v="0"/>
    <n v="0"/>
    <n v="0"/>
    <n v="0"/>
    <n v="0"/>
    <n v="0"/>
    <n v="66.3"/>
  </r>
  <r>
    <x v="744"/>
    <d v="2025-01-04T00:00:00"/>
    <x v="1"/>
    <s v="East"/>
    <s v="Mobile"/>
    <s v="Email"/>
    <s v="Free"/>
    <n v="1"/>
    <n v="1"/>
    <n v="1"/>
    <n v="0"/>
    <n v="0"/>
    <n v="0"/>
    <n v="0"/>
    <n v="0"/>
    <n v="54.6"/>
  </r>
  <r>
    <x v="745"/>
    <d v="2025-05-16T00:00:00"/>
    <x v="1"/>
    <s v="South"/>
    <s v="Desktop"/>
    <s v="Referral"/>
    <s v="Free"/>
    <n v="0"/>
    <n v="0"/>
    <n v="0"/>
    <n v="0"/>
    <n v="0"/>
    <n v="0"/>
    <n v="0"/>
    <n v="0"/>
    <n v="53.8"/>
  </r>
  <r>
    <x v="746"/>
    <d v="2025-02-28T00:00:00"/>
    <x v="1"/>
    <s v="West"/>
    <s v="Mobile"/>
    <s v="Referral"/>
    <s v="Free"/>
    <n v="1"/>
    <n v="0"/>
    <n v="0"/>
    <n v="0"/>
    <n v="0"/>
    <n v="0"/>
    <n v="0"/>
    <n v="0"/>
    <n v="59.5"/>
  </r>
  <r>
    <x v="747"/>
    <d v="2025-04-12T00:00:00"/>
    <x v="1"/>
    <s v="North"/>
    <s v="Mobile"/>
    <s v="Referral"/>
    <s v="Free"/>
    <n v="1"/>
    <n v="0"/>
    <n v="0"/>
    <n v="0"/>
    <n v="0"/>
    <n v="0"/>
    <n v="0"/>
    <n v="0"/>
    <n v="52.6"/>
  </r>
  <r>
    <x v="748"/>
    <d v="2025-03-23T00:00:00"/>
    <x v="1"/>
    <s v="South"/>
    <s v="Desktop"/>
    <s v="Organic"/>
    <s v="Free"/>
    <n v="0"/>
    <n v="0"/>
    <n v="0"/>
    <n v="0"/>
    <n v="0"/>
    <n v="0"/>
    <n v="0"/>
    <n v="0"/>
    <n v="49"/>
  </r>
  <r>
    <x v="749"/>
    <d v="2025-05-29T00:00:00"/>
    <x v="1"/>
    <s v="North"/>
    <s v="Tablet"/>
    <s v="Organic"/>
    <s v="Free"/>
    <n v="1"/>
    <n v="0"/>
    <n v="0"/>
    <n v="0"/>
    <n v="0"/>
    <n v="0"/>
    <n v="0"/>
    <n v="0"/>
    <n v="59.3"/>
  </r>
  <r>
    <x v="750"/>
    <d v="2025-05-21T00:00:00"/>
    <x v="1"/>
    <s v="South"/>
    <s v="Desktop"/>
    <s v="Organic"/>
    <s v="Basic"/>
    <n v="0"/>
    <n v="0"/>
    <n v="0"/>
    <n v="0"/>
    <n v="0"/>
    <n v="0"/>
    <n v="0"/>
    <n v="0"/>
    <n v="67.2"/>
  </r>
  <r>
    <x v="751"/>
    <d v="2025-01-05T00:00:00"/>
    <x v="1"/>
    <s v="South"/>
    <s v="Mobile"/>
    <s v="Referral"/>
    <s v="Premium"/>
    <n v="0"/>
    <n v="0"/>
    <n v="0"/>
    <n v="0"/>
    <n v="0"/>
    <n v="0"/>
    <n v="0"/>
    <n v="0"/>
    <n v="73.5"/>
  </r>
  <r>
    <x v="752"/>
    <d v="2025-03-19T00:00:00"/>
    <x v="1"/>
    <s v="East"/>
    <s v="Tablet"/>
    <s v="Organic"/>
    <s v="Free"/>
    <n v="1"/>
    <n v="0"/>
    <n v="0"/>
    <n v="0"/>
    <n v="0"/>
    <n v="0"/>
    <n v="0"/>
    <n v="0"/>
    <n v="61.2"/>
  </r>
  <r>
    <x v="753"/>
    <d v="2025-04-24T00:00:00"/>
    <x v="1"/>
    <s v="East"/>
    <s v="Mobile"/>
    <s v="Organic"/>
    <s v="Free"/>
    <n v="1"/>
    <n v="0"/>
    <n v="0"/>
    <n v="0"/>
    <n v="0"/>
    <n v="1"/>
    <n v="0"/>
    <n v="0"/>
    <n v="56.4"/>
  </r>
  <r>
    <x v="754"/>
    <d v="2025-03-10T00:00:00"/>
    <x v="1"/>
    <s v="North"/>
    <s v="Tablet"/>
    <s v="Organic"/>
    <s v="Free"/>
    <n v="0"/>
    <n v="0"/>
    <n v="0"/>
    <n v="0"/>
    <n v="0"/>
    <n v="3"/>
    <n v="0"/>
    <n v="0"/>
    <n v="72.599999999999994"/>
  </r>
  <r>
    <x v="755"/>
    <d v="2025-02-22T00:00:00"/>
    <x v="1"/>
    <s v="South"/>
    <s v="Tablet"/>
    <s v="Referral"/>
    <s v="Basic"/>
    <n v="1"/>
    <n v="0"/>
    <n v="0"/>
    <n v="0"/>
    <n v="0"/>
    <n v="0"/>
    <n v="0"/>
    <n v="0"/>
    <n v="61.7"/>
  </r>
  <r>
    <x v="756"/>
    <d v="2025-05-17T00:00:00"/>
    <x v="1"/>
    <s v="East"/>
    <s v="Mobile"/>
    <s v="Social"/>
    <s v="Free"/>
    <n v="0"/>
    <n v="0"/>
    <n v="0"/>
    <n v="0"/>
    <n v="0"/>
    <n v="1"/>
    <n v="0"/>
    <n v="0"/>
    <n v="66.900000000000006"/>
  </r>
  <r>
    <x v="757"/>
    <d v="2025-05-09T00:00:00"/>
    <x v="1"/>
    <s v="East"/>
    <s v="Tablet"/>
    <s v="Referral"/>
    <s v="Premium"/>
    <n v="1"/>
    <n v="1"/>
    <n v="1"/>
    <n v="1"/>
    <n v="1506.24"/>
    <n v="1"/>
    <n v="0"/>
    <n v="7"/>
    <n v="64.900000000000006"/>
  </r>
  <r>
    <x v="758"/>
    <d v="2025-04-26T00:00:00"/>
    <x v="1"/>
    <s v="East"/>
    <s v="Tablet"/>
    <s v="Organic"/>
    <s v="Premium"/>
    <n v="1"/>
    <n v="0"/>
    <n v="0"/>
    <n v="0"/>
    <n v="0"/>
    <n v="0"/>
    <n v="0"/>
    <n v="0"/>
    <n v="57.5"/>
  </r>
  <r>
    <x v="759"/>
    <d v="2025-03-15T00:00:00"/>
    <x v="1"/>
    <s v="West"/>
    <s v="Desktop"/>
    <s v="Social"/>
    <s v="Free"/>
    <n v="1"/>
    <n v="1"/>
    <n v="1"/>
    <n v="0"/>
    <n v="0"/>
    <n v="0"/>
    <n v="0"/>
    <n v="0"/>
    <n v="76.3"/>
  </r>
  <r>
    <x v="760"/>
    <d v="2025-04-03T00:00:00"/>
    <x v="1"/>
    <s v="North"/>
    <s v="Mobile"/>
    <s v="Paid Search"/>
    <s v="Free"/>
    <n v="0"/>
    <n v="0"/>
    <n v="0"/>
    <n v="0"/>
    <n v="0"/>
    <n v="0"/>
    <n v="0"/>
    <n v="0"/>
    <n v="47.5"/>
  </r>
  <r>
    <x v="761"/>
    <d v="2025-03-26T00:00:00"/>
    <x v="1"/>
    <s v="South"/>
    <s v="Mobile"/>
    <s v="Paid Search"/>
    <s v="Free"/>
    <n v="0"/>
    <n v="0"/>
    <n v="0"/>
    <n v="0"/>
    <n v="0"/>
    <n v="0"/>
    <n v="0"/>
    <n v="0"/>
    <n v="0"/>
  </r>
  <r>
    <x v="762"/>
    <d v="2025-02-05T00:00:00"/>
    <x v="1"/>
    <s v="West"/>
    <s v="Desktop"/>
    <s v="Organic"/>
    <s v="Basic"/>
    <n v="1"/>
    <n v="1"/>
    <n v="0"/>
    <n v="0"/>
    <n v="0"/>
    <n v="2"/>
    <n v="0"/>
    <n v="0"/>
    <n v="71.599999999999994"/>
  </r>
  <r>
    <x v="763"/>
    <d v="2025-05-08T00:00:00"/>
    <x v="1"/>
    <s v="South"/>
    <s v="Mobile"/>
    <s v="Social"/>
    <s v="Basic"/>
    <n v="1"/>
    <n v="1"/>
    <n v="0"/>
    <n v="0"/>
    <n v="0"/>
    <n v="0"/>
    <n v="0"/>
    <n v="0"/>
    <n v="55.8"/>
  </r>
  <r>
    <x v="764"/>
    <d v="2025-03-25T00:00:00"/>
    <x v="1"/>
    <s v="South"/>
    <s v="Desktop"/>
    <s v="Organic"/>
    <s v="Basic"/>
    <n v="0"/>
    <n v="0"/>
    <n v="0"/>
    <n v="0"/>
    <n v="0"/>
    <n v="1"/>
    <n v="0"/>
    <n v="0"/>
    <n v="60.1"/>
  </r>
  <r>
    <x v="765"/>
    <d v="2025-01-14T00:00:00"/>
    <x v="1"/>
    <s v="West"/>
    <s v="Unknown"/>
    <s v="Email"/>
    <s v="Basic"/>
    <n v="1"/>
    <n v="1"/>
    <n v="1"/>
    <n v="0"/>
    <n v="0"/>
    <n v="1"/>
    <n v="0"/>
    <n v="0"/>
    <n v="59.3"/>
  </r>
  <r>
    <x v="766"/>
    <d v="2025-03-26T00:00:00"/>
    <x v="1"/>
    <s v="North"/>
    <s v="Mobile"/>
    <s v="Organic"/>
    <s v="Free"/>
    <n v="1"/>
    <n v="1"/>
    <n v="0"/>
    <n v="0"/>
    <n v="0"/>
    <n v="2"/>
    <n v="0"/>
    <n v="0"/>
    <n v="49.3"/>
  </r>
  <r>
    <x v="767"/>
    <d v="2025-01-16T00:00:00"/>
    <x v="1"/>
    <s v="East"/>
    <s v="Mobile"/>
    <s v="Referral"/>
    <s v="Free"/>
    <n v="1"/>
    <n v="0"/>
    <n v="0"/>
    <n v="0"/>
    <n v="0"/>
    <n v="0"/>
    <n v="0"/>
    <n v="0"/>
    <n v="75"/>
  </r>
  <r>
    <x v="768"/>
    <d v="2025-01-04T00:00:00"/>
    <x v="1"/>
    <s v="East"/>
    <s v="Mobile"/>
    <s v="Social"/>
    <s v="Free"/>
    <n v="1"/>
    <n v="0"/>
    <n v="0"/>
    <n v="0"/>
    <n v="0"/>
    <n v="0"/>
    <n v="0"/>
    <n v="0"/>
    <n v="70.2"/>
  </r>
  <r>
    <x v="769"/>
    <d v="2025-02-09T00:00:00"/>
    <x v="1"/>
    <s v="South"/>
    <s v="Desktop"/>
    <s v="Organic"/>
    <s v="Premium"/>
    <n v="1"/>
    <n v="1"/>
    <n v="1"/>
    <n v="0"/>
    <n v="0"/>
    <n v="0"/>
    <n v="0"/>
    <n v="0"/>
    <n v="56.6"/>
  </r>
  <r>
    <x v="770"/>
    <d v="2025-03-05T00:00:00"/>
    <x v="1"/>
    <s v="East"/>
    <s v="Desktop"/>
    <s v="Organic"/>
    <s v="Free"/>
    <n v="1"/>
    <n v="0"/>
    <n v="0"/>
    <n v="0"/>
    <n v="0"/>
    <n v="0"/>
    <n v="0"/>
    <n v="0"/>
    <n v="65.400000000000006"/>
  </r>
  <r>
    <x v="771"/>
    <d v="2025-03-10T00:00:00"/>
    <x v="1"/>
    <s v="East"/>
    <s v="Mobile"/>
    <s v="Referral"/>
    <s v="Basic"/>
    <n v="1"/>
    <n v="0"/>
    <n v="0"/>
    <n v="0"/>
    <n v="0"/>
    <n v="0"/>
    <n v="0"/>
    <n v="0"/>
    <n v="47.6"/>
  </r>
  <r>
    <x v="772"/>
    <d v="2025-02-27T00:00:00"/>
    <x v="1"/>
    <s v="East"/>
    <s v="Desktop"/>
    <s v="Paid Search"/>
    <s v="Free"/>
    <n v="1"/>
    <n v="0"/>
    <n v="0"/>
    <n v="0"/>
    <n v="0"/>
    <n v="0"/>
    <n v="0"/>
    <n v="0"/>
    <n v="56.7"/>
  </r>
  <r>
    <x v="773"/>
    <d v="2025-03-10T00:00:00"/>
    <x v="1"/>
    <s v="North"/>
    <s v="Desktop"/>
    <s v="Referral"/>
    <s v="Basic"/>
    <n v="1"/>
    <n v="1"/>
    <n v="0"/>
    <n v="0"/>
    <n v="0"/>
    <n v="0"/>
    <n v="0"/>
    <n v="0"/>
    <n v="71.400000000000006"/>
  </r>
  <r>
    <x v="774"/>
    <d v="2025-04-23T00:00:00"/>
    <x v="1"/>
    <s v="West"/>
    <s v="Mobile"/>
    <s v="Social"/>
    <s v="Free"/>
    <n v="0"/>
    <n v="0"/>
    <n v="0"/>
    <n v="0"/>
    <n v="0"/>
    <n v="2"/>
    <n v="0"/>
    <n v="0"/>
    <n v="60.5"/>
  </r>
  <r>
    <x v="775"/>
    <d v="2025-04-12T00:00:00"/>
    <x v="1"/>
    <s v="North"/>
    <s v="Desktop"/>
    <s v="Paid Search"/>
    <s v="Free"/>
    <n v="1"/>
    <n v="0"/>
    <n v="0"/>
    <n v="0"/>
    <n v="0"/>
    <n v="0"/>
    <n v="0"/>
    <n v="0"/>
    <n v="46.7"/>
  </r>
  <r>
    <x v="776"/>
    <d v="2025-01-26T00:00:00"/>
    <x v="1"/>
    <s v="East"/>
    <s v="Desktop"/>
    <s v="Referral"/>
    <s v="Free"/>
    <n v="0"/>
    <n v="0"/>
    <n v="0"/>
    <n v="0"/>
    <n v="0"/>
    <n v="0"/>
    <n v="0"/>
    <n v="0"/>
    <n v="61"/>
  </r>
  <r>
    <x v="777"/>
    <d v="2025-05-24T00:00:00"/>
    <x v="1"/>
    <s v="West"/>
    <s v="Tablet"/>
    <s v="Paid Search"/>
    <s v="Free"/>
    <n v="0"/>
    <n v="0"/>
    <n v="0"/>
    <n v="0"/>
    <n v="0"/>
    <n v="0"/>
    <n v="0"/>
    <n v="0"/>
    <n v="60.9"/>
  </r>
  <r>
    <x v="778"/>
    <d v="2025-01-08T00:00:00"/>
    <x v="1"/>
    <s v="South"/>
    <s v="Mobile"/>
    <s v="Organic"/>
    <s v="Free"/>
    <n v="1"/>
    <n v="0"/>
    <n v="0"/>
    <n v="0"/>
    <n v="0"/>
    <n v="0"/>
    <n v="0"/>
    <n v="0"/>
    <n v="67.099999999999994"/>
  </r>
  <r>
    <x v="779"/>
    <d v="2025-04-15T00:00:00"/>
    <x v="1"/>
    <s v="North"/>
    <s v="Mobile"/>
    <s v="Referral"/>
    <s v="Free"/>
    <n v="1"/>
    <n v="1"/>
    <n v="0"/>
    <n v="0"/>
    <n v="0"/>
    <n v="0"/>
    <n v="0"/>
    <n v="0"/>
    <n v="59.6"/>
  </r>
  <r>
    <x v="780"/>
    <d v="2025-01-15T00:00:00"/>
    <x v="1"/>
    <s v="South"/>
    <s v="Desktop"/>
    <s v="Paid Search"/>
    <s v="Free"/>
    <n v="1"/>
    <n v="0"/>
    <n v="0"/>
    <n v="0"/>
    <n v="0"/>
    <n v="0"/>
    <n v="0"/>
    <n v="0"/>
    <n v="83.8"/>
  </r>
  <r>
    <x v="781"/>
    <d v="2025-02-28T00:00:00"/>
    <x v="1"/>
    <s v="North"/>
    <s v="Mobile"/>
    <s v="Organic"/>
    <s v="Basic"/>
    <n v="1"/>
    <n v="1"/>
    <n v="1"/>
    <n v="0"/>
    <n v="0"/>
    <n v="0"/>
    <n v="0"/>
    <n v="0"/>
    <n v="70.8"/>
  </r>
  <r>
    <x v="782"/>
    <d v="2025-01-01T00:00:00"/>
    <x v="1"/>
    <s v="North"/>
    <s v="Tablet"/>
    <s v="Organic"/>
    <s v="Basic"/>
    <n v="0"/>
    <n v="0"/>
    <n v="0"/>
    <n v="0"/>
    <n v="0"/>
    <n v="0"/>
    <n v="0"/>
    <n v="0"/>
    <n v="65.900000000000006"/>
  </r>
  <r>
    <x v="783"/>
    <d v="2025-04-17T00:00:00"/>
    <x v="1"/>
    <s v="West"/>
    <s v="Mobile"/>
    <s v="Referral"/>
    <s v="Free"/>
    <n v="1"/>
    <n v="0"/>
    <n v="0"/>
    <n v="0"/>
    <n v="0"/>
    <n v="0"/>
    <n v="0"/>
    <n v="0"/>
    <n v="58"/>
  </r>
  <r>
    <x v="784"/>
    <d v="2025-02-19T00:00:00"/>
    <x v="1"/>
    <s v="North"/>
    <s v="Mobile"/>
    <s v="Email"/>
    <s v="Basic"/>
    <n v="1"/>
    <n v="1"/>
    <n v="0"/>
    <n v="0"/>
    <n v="0"/>
    <n v="0"/>
    <n v="0"/>
    <n v="0"/>
    <n v="80.3"/>
  </r>
  <r>
    <x v="785"/>
    <d v="2025-03-14T00:00:00"/>
    <x v="1"/>
    <s v="North"/>
    <s v="Desktop"/>
    <s v="Organic"/>
    <s v="Free"/>
    <n v="1"/>
    <n v="0"/>
    <n v="0"/>
    <n v="0"/>
    <n v="0"/>
    <n v="0"/>
    <n v="0"/>
    <n v="0"/>
    <n v="55.7"/>
  </r>
  <r>
    <x v="786"/>
    <d v="2025-04-21T00:00:00"/>
    <x v="1"/>
    <s v="North"/>
    <s v="Mobile"/>
    <s v="Organic"/>
    <s v="Free"/>
    <n v="1"/>
    <n v="1"/>
    <n v="0"/>
    <n v="0"/>
    <n v="0"/>
    <n v="0"/>
    <n v="0"/>
    <n v="0"/>
    <n v="84.9"/>
  </r>
  <r>
    <x v="787"/>
    <d v="2025-02-14T00:00:00"/>
    <x v="1"/>
    <s v="North"/>
    <s v="Mobile"/>
    <s v="Organic"/>
    <s v="Free"/>
    <n v="1"/>
    <n v="0"/>
    <n v="0"/>
    <n v="0"/>
    <n v="0"/>
    <n v="0"/>
    <n v="0"/>
    <n v="0"/>
    <n v="63.3"/>
  </r>
  <r>
    <x v="788"/>
    <d v="2025-05-30T00:00:00"/>
    <x v="1"/>
    <s v="West"/>
    <s v="Mobile"/>
    <s v="Organic"/>
    <s v="Free"/>
    <n v="0"/>
    <n v="0"/>
    <n v="0"/>
    <n v="0"/>
    <n v="0"/>
    <n v="0"/>
    <n v="0"/>
    <n v="0"/>
    <n v="53.1"/>
  </r>
  <r>
    <x v="789"/>
    <d v="2025-01-20T00:00:00"/>
    <x v="1"/>
    <s v="West"/>
    <s v="Mobile"/>
    <s v="Organic"/>
    <s v="Free"/>
    <n v="0"/>
    <n v="0"/>
    <n v="0"/>
    <n v="0"/>
    <n v="0"/>
    <n v="0"/>
    <n v="0"/>
    <n v="0"/>
    <n v="66"/>
  </r>
  <r>
    <x v="790"/>
    <d v="2025-03-17T00:00:00"/>
    <x v="1"/>
    <s v="West"/>
    <s v="Mobile"/>
    <s v="Social"/>
    <s v="Premium"/>
    <n v="0"/>
    <n v="0"/>
    <n v="0"/>
    <n v="0"/>
    <n v="0"/>
    <n v="0"/>
    <n v="0"/>
    <n v="0"/>
    <n v="54.7"/>
  </r>
  <r>
    <x v="791"/>
    <d v="2025-03-04T00:00:00"/>
    <x v="1"/>
    <s v="West"/>
    <s v="Mobile"/>
    <s v="Social"/>
    <s v="Free"/>
    <n v="1"/>
    <n v="1"/>
    <n v="0"/>
    <n v="0"/>
    <n v="0"/>
    <n v="1"/>
    <n v="0"/>
    <n v="0"/>
    <n v="41.2"/>
  </r>
  <r>
    <x v="792"/>
    <d v="2025-02-22T00:00:00"/>
    <x v="1"/>
    <s v="South"/>
    <s v="Mobile"/>
    <s v="Organic"/>
    <s v="Premium"/>
    <n v="0"/>
    <n v="0"/>
    <n v="0"/>
    <n v="0"/>
    <n v="0"/>
    <n v="0"/>
    <n v="0"/>
    <n v="0"/>
    <n v="66.7"/>
  </r>
  <r>
    <x v="793"/>
    <d v="2025-05-02T00:00:00"/>
    <x v="1"/>
    <s v="North"/>
    <s v="Mobile"/>
    <s v="Paid Search"/>
    <s v="Premium"/>
    <n v="0"/>
    <n v="0"/>
    <n v="0"/>
    <n v="0"/>
    <n v="0"/>
    <n v="0"/>
    <n v="0"/>
    <n v="0"/>
    <n v="39.4"/>
  </r>
  <r>
    <x v="794"/>
    <d v="2025-03-13T00:00:00"/>
    <x v="1"/>
    <s v="West"/>
    <s v="Desktop"/>
    <s v="Organic"/>
    <s v="Premium"/>
    <n v="0"/>
    <n v="0"/>
    <n v="0"/>
    <n v="0"/>
    <n v="0"/>
    <n v="3"/>
    <n v="0"/>
    <n v="0"/>
    <n v="67"/>
  </r>
  <r>
    <x v="795"/>
    <d v="2025-05-31T00:00:00"/>
    <x v="1"/>
    <s v="South"/>
    <s v="Mobile"/>
    <s v="Organic"/>
    <s v="Basic"/>
    <n v="1"/>
    <n v="0"/>
    <n v="0"/>
    <n v="0"/>
    <n v="0"/>
    <n v="0"/>
    <n v="0"/>
    <n v="0"/>
    <n v="50.4"/>
  </r>
  <r>
    <x v="796"/>
    <d v="2025-03-07T00:00:00"/>
    <x v="1"/>
    <s v="West"/>
    <s v="Desktop"/>
    <s v="Social"/>
    <s v="Free"/>
    <n v="1"/>
    <n v="0"/>
    <n v="0"/>
    <n v="0"/>
    <n v="0"/>
    <n v="0"/>
    <n v="0"/>
    <n v="0"/>
    <n v="53.8"/>
  </r>
  <r>
    <x v="797"/>
    <d v="2025-02-22T00:00:00"/>
    <x v="1"/>
    <s v="West"/>
    <s v="Mobile"/>
    <s v="Paid Search"/>
    <s v="Basic"/>
    <n v="0"/>
    <n v="0"/>
    <n v="0"/>
    <n v="0"/>
    <n v="0"/>
    <n v="1"/>
    <n v="0"/>
    <n v="0"/>
    <n v="82.7"/>
  </r>
  <r>
    <x v="798"/>
    <d v="2025-01-05T00:00:00"/>
    <x v="1"/>
    <s v="West"/>
    <s v="Desktop"/>
    <s v="Paid Search"/>
    <s v="Free"/>
    <n v="1"/>
    <n v="1"/>
    <n v="1"/>
    <n v="0"/>
    <n v="0"/>
    <n v="0"/>
    <n v="0"/>
    <n v="0"/>
    <n v="63.9"/>
  </r>
  <r>
    <x v="799"/>
    <d v="2025-01-21T00:00:00"/>
    <x v="1"/>
    <s v="West"/>
    <s v="Mobile"/>
    <s v="Referral"/>
    <s v="Free"/>
    <n v="1"/>
    <n v="0"/>
    <n v="0"/>
    <n v="0"/>
    <n v="0"/>
    <n v="0"/>
    <n v="0"/>
    <n v="0"/>
    <n v="61.9"/>
  </r>
  <r>
    <x v="800"/>
    <d v="2025-01-25T00:00:00"/>
    <x v="1"/>
    <s v="North"/>
    <s v="Desktop"/>
    <s v="Social"/>
    <s v="Free"/>
    <n v="1"/>
    <n v="1"/>
    <n v="1"/>
    <n v="0"/>
    <n v="0"/>
    <n v="0"/>
    <n v="0"/>
    <n v="0"/>
    <n v="75"/>
  </r>
  <r>
    <x v="801"/>
    <d v="2025-04-04T00:00:00"/>
    <x v="1"/>
    <s v="West"/>
    <s v="Mobile"/>
    <s v="Paid Search"/>
    <s v="Basic"/>
    <n v="1"/>
    <n v="1"/>
    <n v="1"/>
    <n v="0"/>
    <n v="0"/>
    <n v="0"/>
    <n v="0"/>
    <n v="0"/>
    <n v="43"/>
  </r>
  <r>
    <x v="802"/>
    <d v="2025-03-25T00:00:00"/>
    <x v="1"/>
    <s v="North"/>
    <s v="Desktop"/>
    <s v="Social"/>
    <s v="Premium"/>
    <n v="0"/>
    <n v="0"/>
    <n v="0"/>
    <n v="0"/>
    <n v="0"/>
    <n v="0"/>
    <n v="0"/>
    <n v="0"/>
    <n v="54.3"/>
  </r>
  <r>
    <x v="803"/>
    <d v="2025-03-19T00:00:00"/>
    <x v="1"/>
    <s v="West"/>
    <s v="Mobile"/>
    <s v="Social"/>
    <s v="Free"/>
    <n v="0"/>
    <n v="0"/>
    <n v="0"/>
    <n v="0"/>
    <n v="0"/>
    <n v="2"/>
    <n v="0"/>
    <n v="0"/>
    <n v="44.3"/>
  </r>
  <r>
    <x v="804"/>
    <d v="2025-04-24T00:00:00"/>
    <x v="1"/>
    <s v="West"/>
    <s v="Desktop"/>
    <s v="Organic"/>
    <s v="Free"/>
    <n v="1"/>
    <n v="1"/>
    <n v="1"/>
    <n v="1"/>
    <n v="402.88"/>
    <n v="0"/>
    <n v="0"/>
    <n v="12"/>
    <n v="76"/>
  </r>
  <r>
    <x v="805"/>
    <d v="2025-04-04T00:00:00"/>
    <x v="1"/>
    <s v="South"/>
    <s v="Tablet"/>
    <s v="Organic"/>
    <s v="Free"/>
    <n v="1"/>
    <n v="0"/>
    <n v="0"/>
    <n v="0"/>
    <n v="0"/>
    <n v="2"/>
    <n v="0"/>
    <n v="0"/>
    <n v="65.3"/>
  </r>
  <r>
    <x v="806"/>
    <d v="2025-03-28T00:00:00"/>
    <x v="1"/>
    <s v="South"/>
    <s v="Desktop"/>
    <s v="Paid Search"/>
    <s v="Premium"/>
    <n v="1"/>
    <n v="0"/>
    <n v="0"/>
    <n v="0"/>
    <n v="0"/>
    <n v="0"/>
    <n v="0"/>
    <n v="0"/>
    <n v="71.2"/>
  </r>
  <r>
    <x v="807"/>
    <d v="2025-05-15T00:00:00"/>
    <x v="1"/>
    <s v="South"/>
    <s v="Tablet"/>
    <s v="Paid Search"/>
    <s v="Free"/>
    <n v="1"/>
    <n v="0"/>
    <n v="0"/>
    <n v="0"/>
    <n v="0"/>
    <n v="0"/>
    <n v="0"/>
    <n v="0"/>
    <n v="77.900000000000006"/>
  </r>
  <r>
    <x v="808"/>
    <d v="2025-03-13T00:00:00"/>
    <x v="1"/>
    <s v="West"/>
    <s v="Mobile"/>
    <s v="Paid Search"/>
    <s v="Free"/>
    <n v="0"/>
    <n v="0"/>
    <n v="0"/>
    <n v="0"/>
    <n v="0"/>
    <n v="0"/>
    <n v="0"/>
    <n v="0"/>
    <n v="48.6"/>
  </r>
  <r>
    <x v="809"/>
    <d v="2025-03-26T00:00:00"/>
    <x v="1"/>
    <s v="North"/>
    <s v="Mobile"/>
    <s v="Social"/>
    <s v="Premium"/>
    <n v="1"/>
    <n v="0"/>
    <n v="0"/>
    <n v="0"/>
    <n v="0"/>
    <n v="0"/>
    <n v="0"/>
    <n v="0"/>
    <n v="61.9"/>
  </r>
  <r>
    <x v="810"/>
    <d v="2025-01-09T00:00:00"/>
    <x v="1"/>
    <s v="North"/>
    <s v="Mobile"/>
    <s v="Social"/>
    <s v="Basic"/>
    <n v="0"/>
    <n v="0"/>
    <n v="0"/>
    <n v="0"/>
    <n v="0"/>
    <n v="1"/>
    <n v="0"/>
    <n v="0"/>
    <n v="58.7"/>
  </r>
  <r>
    <x v="811"/>
    <d v="2025-05-06T00:00:00"/>
    <x v="1"/>
    <s v="South"/>
    <s v="Desktop"/>
    <s v="Paid Search"/>
    <s v="Free"/>
    <n v="1"/>
    <n v="0"/>
    <n v="0"/>
    <n v="0"/>
    <n v="0"/>
    <n v="0"/>
    <n v="0"/>
    <n v="0"/>
    <n v="69.599999999999994"/>
  </r>
  <r>
    <x v="812"/>
    <d v="2025-02-17T00:00:00"/>
    <x v="1"/>
    <s v="South"/>
    <s v="Mobile"/>
    <s v="Organic"/>
    <s v="Free"/>
    <n v="1"/>
    <n v="0"/>
    <n v="0"/>
    <n v="0"/>
    <n v="0"/>
    <n v="0"/>
    <n v="0"/>
    <n v="0"/>
    <n v="51.5"/>
  </r>
  <r>
    <x v="813"/>
    <d v="2025-04-05T00:00:00"/>
    <x v="1"/>
    <s v="East"/>
    <s v="Mobile"/>
    <s v="Paid Search"/>
    <s v="Free"/>
    <n v="1"/>
    <n v="1"/>
    <n v="1"/>
    <n v="1"/>
    <n v="277.69"/>
    <n v="3"/>
    <n v="0"/>
    <n v="8"/>
    <n v="46"/>
  </r>
  <r>
    <x v="814"/>
    <d v="2025-04-13T00:00:00"/>
    <x v="1"/>
    <s v="West"/>
    <s v="Tablet"/>
    <s v="Organic"/>
    <s v="Free"/>
    <n v="1"/>
    <n v="0"/>
    <n v="0"/>
    <n v="0"/>
    <n v="0"/>
    <n v="0"/>
    <n v="0"/>
    <n v="0"/>
    <n v="81.7"/>
  </r>
  <r>
    <x v="815"/>
    <d v="2025-05-20T00:00:00"/>
    <x v="1"/>
    <s v="East"/>
    <s v="Desktop"/>
    <s v="Referral"/>
    <s v="Free"/>
    <n v="1"/>
    <n v="0"/>
    <n v="0"/>
    <n v="0"/>
    <n v="0"/>
    <n v="0"/>
    <n v="0"/>
    <n v="0"/>
    <n v="48.3"/>
  </r>
  <r>
    <x v="816"/>
    <d v="2025-03-31T00:00:00"/>
    <x v="1"/>
    <s v="East"/>
    <s v="Mobile"/>
    <s v="Email"/>
    <s v="Free"/>
    <n v="1"/>
    <n v="1"/>
    <n v="0"/>
    <n v="0"/>
    <n v="0"/>
    <n v="0"/>
    <n v="0"/>
    <n v="0"/>
    <n v="85.6"/>
  </r>
  <r>
    <x v="817"/>
    <d v="2025-04-03T00:00:00"/>
    <x v="1"/>
    <s v="West"/>
    <s v="Tablet"/>
    <s v="Paid Search"/>
    <s v="Basic"/>
    <n v="1"/>
    <n v="0"/>
    <n v="0"/>
    <n v="0"/>
    <n v="0"/>
    <n v="0"/>
    <n v="0"/>
    <n v="0"/>
    <n v="53.8"/>
  </r>
  <r>
    <x v="818"/>
    <d v="2025-02-04T00:00:00"/>
    <x v="1"/>
    <s v="South"/>
    <s v="Mobile"/>
    <s v="Organic"/>
    <s v="Free"/>
    <n v="1"/>
    <n v="1"/>
    <n v="1"/>
    <n v="1"/>
    <n v="460.83"/>
    <n v="2"/>
    <n v="0"/>
    <n v="0"/>
    <n v="69.7"/>
  </r>
  <r>
    <x v="819"/>
    <d v="2025-05-19T00:00:00"/>
    <x v="1"/>
    <s v="East"/>
    <s v="Mobile"/>
    <s v="Organic"/>
    <s v="Free"/>
    <n v="1"/>
    <n v="0"/>
    <n v="0"/>
    <n v="0"/>
    <n v="0"/>
    <n v="0"/>
    <n v="0"/>
    <n v="0"/>
    <n v="74.8"/>
  </r>
  <r>
    <x v="820"/>
    <d v="2025-03-08T00:00:00"/>
    <x v="1"/>
    <s v="East"/>
    <s v="Desktop"/>
    <s v="Paid Search"/>
    <s v="Basic"/>
    <n v="0"/>
    <n v="0"/>
    <n v="0"/>
    <n v="0"/>
    <n v="0"/>
    <n v="0"/>
    <n v="0"/>
    <n v="0"/>
    <n v="87.9"/>
  </r>
  <r>
    <x v="821"/>
    <d v="2025-05-10T00:00:00"/>
    <x v="1"/>
    <s v="North"/>
    <s v="Mobile"/>
    <s v="Social"/>
    <s v="Basic"/>
    <n v="1"/>
    <n v="0"/>
    <n v="0"/>
    <n v="0"/>
    <n v="0"/>
    <n v="1"/>
    <n v="0"/>
    <n v="0"/>
    <n v="49.1"/>
  </r>
  <r>
    <x v="822"/>
    <d v="2025-01-02T00:00:00"/>
    <x v="1"/>
    <s v="East"/>
    <s v="Desktop"/>
    <s v="Social"/>
    <s v="Basic"/>
    <n v="1"/>
    <n v="0"/>
    <n v="0"/>
    <n v="0"/>
    <n v="0"/>
    <n v="2"/>
    <n v="0"/>
    <n v="0"/>
    <n v="73"/>
  </r>
  <r>
    <x v="823"/>
    <d v="2025-01-17T00:00:00"/>
    <x v="1"/>
    <s v="West"/>
    <s v="Mobile"/>
    <s v="Organic"/>
    <s v="Basic"/>
    <n v="0"/>
    <n v="0"/>
    <n v="0"/>
    <n v="0"/>
    <n v="0"/>
    <n v="0"/>
    <n v="0"/>
    <n v="0"/>
    <n v="79.5"/>
  </r>
  <r>
    <x v="824"/>
    <d v="2025-05-21T00:00:00"/>
    <x v="1"/>
    <s v="West"/>
    <s v="Mobile"/>
    <s v="Referral"/>
    <s v="Basic"/>
    <n v="1"/>
    <n v="1"/>
    <n v="1"/>
    <n v="1"/>
    <n v="782.23"/>
    <n v="1"/>
    <n v="0"/>
    <n v="6"/>
    <n v="93.2"/>
  </r>
  <r>
    <x v="825"/>
    <d v="2025-05-25T00:00:00"/>
    <x v="1"/>
    <s v="East"/>
    <s v="Desktop"/>
    <s v="Referral"/>
    <s v="Free"/>
    <n v="1"/>
    <n v="0"/>
    <n v="0"/>
    <n v="0"/>
    <n v="0"/>
    <n v="3"/>
    <n v="0"/>
    <n v="0"/>
    <n v="77.5"/>
  </r>
  <r>
    <x v="826"/>
    <d v="2025-01-05T00:00:00"/>
    <x v="1"/>
    <s v="West"/>
    <s v="Mobile"/>
    <s v="Email"/>
    <s v="Basic"/>
    <n v="1"/>
    <n v="0"/>
    <n v="0"/>
    <n v="0"/>
    <n v="0"/>
    <n v="0"/>
    <n v="0"/>
    <n v="0"/>
    <n v="61"/>
  </r>
  <r>
    <x v="827"/>
    <d v="2025-02-24T00:00:00"/>
    <x v="1"/>
    <s v="South"/>
    <s v="Desktop"/>
    <s v="Organic"/>
    <s v="Free"/>
    <n v="1"/>
    <n v="1"/>
    <n v="0"/>
    <n v="0"/>
    <n v="0"/>
    <n v="0"/>
    <n v="0"/>
    <n v="0"/>
    <n v="64.900000000000006"/>
  </r>
  <r>
    <x v="828"/>
    <d v="2025-01-21T00:00:00"/>
    <x v="1"/>
    <s v="East"/>
    <s v="Mobile"/>
    <s v="Paid Search"/>
    <s v="Basic"/>
    <n v="1"/>
    <n v="0"/>
    <n v="0"/>
    <n v="0"/>
    <n v="0"/>
    <n v="0"/>
    <n v="0"/>
    <n v="0"/>
    <n v="87.5"/>
  </r>
  <r>
    <x v="829"/>
    <d v="2025-04-24T00:00:00"/>
    <x v="1"/>
    <s v="North"/>
    <s v="Mobile"/>
    <s v="Organic"/>
    <s v="Basic"/>
    <n v="1"/>
    <n v="1"/>
    <n v="1"/>
    <n v="1"/>
    <n v="1171.99"/>
    <n v="0"/>
    <n v="0"/>
    <n v="5"/>
    <n v="80.599999999999994"/>
  </r>
  <r>
    <x v="830"/>
    <d v="2025-01-07T00:00:00"/>
    <x v="1"/>
    <s v="West"/>
    <s v="Desktop"/>
    <s v="Organic"/>
    <s v="Free"/>
    <n v="1"/>
    <n v="0"/>
    <n v="0"/>
    <n v="0"/>
    <n v="0"/>
    <n v="0"/>
    <n v="0"/>
    <n v="0"/>
    <n v="66.900000000000006"/>
  </r>
  <r>
    <x v="831"/>
    <d v="2025-05-31T00:00:00"/>
    <x v="1"/>
    <s v="South"/>
    <s v="Tablet"/>
    <s v="Organic"/>
    <s v="Basic"/>
    <n v="1"/>
    <n v="1"/>
    <n v="1"/>
    <n v="0"/>
    <n v="0"/>
    <n v="0"/>
    <n v="0"/>
    <n v="0"/>
    <n v="58.8"/>
  </r>
  <r>
    <x v="832"/>
    <d v="2025-04-02T00:00:00"/>
    <x v="1"/>
    <s v="North"/>
    <s v="Desktop"/>
    <s v="Organic"/>
    <s v="Basic"/>
    <n v="1"/>
    <n v="1"/>
    <n v="1"/>
    <n v="1"/>
    <n v="1010.4"/>
    <n v="0"/>
    <n v="0"/>
    <n v="4"/>
    <n v="42.9"/>
  </r>
  <r>
    <x v="833"/>
    <d v="2025-04-21T00:00:00"/>
    <x v="1"/>
    <s v="East"/>
    <s v="Mobile"/>
    <s v="Organic"/>
    <s v="Free"/>
    <n v="1"/>
    <n v="1"/>
    <n v="1"/>
    <n v="0"/>
    <n v="0"/>
    <n v="1"/>
    <n v="0"/>
    <n v="0"/>
    <n v="60.2"/>
  </r>
  <r>
    <x v="834"/>
    <d v="2025-05-05T00:00:00"/>
    <x v="1"/>
    <s v="East"/>
    <s v="Mobile"/>
    <s v="Paid Search"/>
    <s v="Basic"/>
    <n v="1"/>
    <n v="0"/>
    <n v="0"/>
    <n v="0"/>
    <n v="0"/>
    <n v="0"/>
    <n v="0"/>
    <n v="0"/>
    <n v="42.7"/>
  </r>
  <r>
    <x v="835"/>
    <d v="2025-01-06T00:00:00"/>
    <x v="1"/>
    <s v="North"/>
    <s v="Desktop"/>
    <s v="Social"/>
    <s v="Free"/>
    <n v="1"/>
    <n v="1"/>
    <n v="1"/>
    <n v="1"/>
    <n v="431.27"/>
    <n v="0"/>
    <n v="0"/>
    <n v="7"/>
    <n v="60.8"/>
  </r>
  <r>
    <x v="836"/>
    <d v="2025-04-24T00:00:00"/>
    <x v="1"/>
    <s v="South"/>
    <s v="Mobile"/>
    <s v="Referral"/>
    <s v="Free"/>
    <n v="1"/>
    <n v="1"/>
    <n v="1"/>
    <n v="1"/>
    <n v="428.8"/>
    <n v="0"/>
    <n v="0"/>
    <n v="9"/>
    <n v="79.3"/>
  </r>
  <r>
    <x v="837"/>
    <d v="2025-04-21T00:00:00"/>
    <x v="1"/>
    <s v="South"/>
    <s v="Mobile"/>
    <s v="Organic"/>
    <s v="Basic"/>
    <n v="1"/>
    <n v="0"/>
    <n v="0"/>
    <n v="0"/>
    <n v="0"/>
    <n v="1"/>
    <n v="0"/>
    <n v="0"/>
    <n v="88.6"/>
  </r>
  <r>
    <x v="838"/>
    <d v="2025-02-09T00:00:00"/>
    <x v="1"/>
    <s v="West"/>
    <s v="Mobile"/>
    <s v="Organic"/>
    <s v="Basic"/>
    <n v="1"/>
    <n v="1"/>
    <n v="1"/>
    <n v="0"/>
    <n v="0"/>
    <n v="0"/>
    <n v="0"/>
    <n v="0"/>
    <n v="63.1"/>
  </r>
  <r>
    <x v="839"/>
    <d v="2025-01-09T00:00:00"/>
    <x v="1"/>
    <s v="East"/>
    <s v="Mobile"/>
    <s v="Organic"/>
    <s v="Premium"/>
    <n v="1"/>
    <n v="0"/>
    <n v="0"/>
    <n v="0"/>
    <n v="0"/>
    <n v="0"/>
    <n v="0"/>
    <n v="0"/>
    <n v="39.700000000000003"/>
  </r>
  <r>
    <x v="840"/>
    <d v="2025-02-16T00:00:00"/>
    <x v="1"/>
    <s v="North"/>
    <s v="Mobile"/>
    <s v="Paid Search"/>
    <s v="Basic"/>
    <n v="0"/>
    <n v="0"/>
    <n v="0"/>
    <n v="0"/>
    <n v="0"/>
    <n v="0"/>
    <n v="0"/>
    <n v="0"/>
    <n v="67.2"/>
  </r>
  <r>
    <x v="841"/>
    <d v="2025-02-21T00:00:00"/>
    <x v="1"/>
    <s v="South"/>
    <s v="Mobile"/>
    <s v="Organic"/>
    <s v="Free"/>
    <n v="1"/>
    <n v="1"/>
    <n v="1"/>
    <n v="0"/>
    <n v="0"/>
    <n v="0"/>
    <n v="0"/>
    <n v="0"/>
    <n v="62.3"/>
  </r>
  <r>
    <x v="842"/>
    <d v="2025-02-08T00:00:00"/>
    <x v="1"/>
    <s v="South"/>
    <s v="Mobile"/>
    <s v="Organic"/>
    <s v="Premium"/>
    <n v="1"/>
    <n v="0"/>
    <n v="0"/>
    <n v="0"/>
    <n v="0"/>
    <n v="0"/>
    <n v="0"/>
    <n v="0"/>
    <n v="0"/>
  </r>
  <r>
    <x v="843"/>
    <d v="2025-01-22T00:00:00"/>
    <x v="1"/>
    <s v="South"/>
    <s v="Mobile"/>
    <s v="Paid Search"/>
    <s v="Premium"/>
    <n v="0"/>
    <n v="0"/>
    <n v="0"/>
    <n v="0"/>
    <n v="0"/>
    <n v="0"/>
    <n v="0"/>
    <n v="0"/>
    <n v="60.7"/>
  </r>
  <r>
    <x v="844"/>
    <d v="2025-04-01T00:00:00"/>
    <x v="1"/>
    <s v="West"/>
    <s v="Mobile"/>
    <s v="Organic"/>
    <s v="Basic"/>
    <n v="1"/>
    <n v="0"/>
    <n v="0"/>
    <n v="0"/>
    <n v="0"/>
    <n v="0"/>
    <n v="0"/>
    <n v="0"/>
    <n v="61.5"/>
  </r>
  <r>
    <x v="845"/>
    <d v="2025-01-21T00:00:00"/>
    <x v="1"/>
    <s v="North"/>
    <s v="Mobile"/>
    <s v="Paid Search"/>
    <s v="Basic"/>
    <n v="1"/>
    <n v="0"/>
    <n v="0"/>
    <n v="0"/>
    <n v="0"/>
    <n v="0"/>
    <n v="0"/>
    <n v="0"/>
    <n v="75"/>
  </r>
  <r>
    <x v="846"/>
    <d v="2025-01-02T00:00:00"/>
    <x v="1"/>
    <s v="East"/>
    <s v="Desktop"/>
    <s v="Organic"/>
    <s v="Free"/>
    <n v="1"/>
    <n v="1"/>
    <n v="0"/>
    <n v="0"/>
    <n v="0"/>
    <n v="0"/>
    <n v="0"/>
    <n v="0"/>
    <n v="51.9"/>
  </r>
  <r>
    <x v="847"/>
    <d v="2025-05-12T00:00:00"/>
    <x v="1"/>
    <s v="South"/>
    <s v="Desktop"/>
    <s v="Paid Search"/>
    <s v="Free"/>
    <n v="0"/>
    <n v="0"/>
    <n v="0"/>
    <n v="0"/>
    <n v="0"/>
    <n v="0"/>
    <n v="0"/>
    <n v="0"/>
    <n v="34.5"/>
  </r>
  <r>
    <x v="848"/>
    <d v="2025-03-05T00:00:00"/>
    <x v="1"/>
    <s v="South"/>
    <s v="Mobile"/>
    <s v="Social"/>
    <s v="Basic"/>
    <n v="0"/>
    <n v="0"/>
    <n v="0"/>
    <n v="0"/>
    <n v="0"/>
    <n v="0"/>
    <n v="0"/>
    <n v="0"/>
    <n v="54.5"/>
  </r>
  <r>
    <x v="849"/>
    <d v="2025-01-24T00:00:00"/>
    <x v="1"/>
    <s v="East"/>
    <s v="Mobile"/>
    <s v="Organic"/>
    <s v="Free"/>
    <n v="0"/>
    <n v="0"/>
    <n v="0"/>
    <n v="0"/>
    <n v="0"/>
    <n v="0"/>
    <n v="0"/>
    <n v="0"/>
    <n v="46"/>
  </r>
  <r>
    <x v="850"/>
    <d v="2025-01-31T00:00:00"/>
    <x v="1"/>
    <s v="East"/>
    <s v="Desktop"/>
    <s v="Email"/>
    <s v="Free"/>
    <n v="1"/>
    <n v="1"/>
    <n v="1"/>
    <n v="0"/>
    <n v="0"/>
    <n v="0"/>
    <n v="0"/>
    <n v="0"/>
    <n v="88.4"/>
  </r>
  <r>
    <x v="851"/>
    <d v="2025-01-24T00:00:00"/>
    <x v="1"/>
    <s v="North"/>
    <s v="Tablet"/>
    <s v="Organic"/>
    <s v="Basic"/>
    <n v="1"/>
    <n v="0"/>
    <n v="0"/>
    <n v="0"/>
    <n v="0"/>
    <n v="0"/>
    <n v="0"/>
    <n v="0"/>
    <n v="69.5"/>
  </r>
  <r>
    <x v="852"/>
    <d v="2025-02-14T00:00:00"/>
    <x v="1"/>
    <s v="North"/>
    <s v="Desktop"/>
    <s v="Referral"/>
    <s v="Basic"/>
    <n v="1"/>
    <n v="1"/>
    <n v="1"/>
    <n v="0"/>
    <n v="0"/>
    <n v="0"/>
    <n v="0"/>
    <n v="0"/>
    <n v="74.2"/>
  </r>
  <r>
    <x v="853"/>
    <d v="2025-05-27T00:00:00"/>
    <x v="1"/>
    <s v="North"/>
    <s v="Mobile"/>
    <s v="Organic"/>
    <s v="Free"/>
    <n v="1"/>
    <n v="1"/>
    <n v="1"/>
    <n v="0"/>
    <n v="0"/>
    <n v="0"/>
    <n v="0"/>
    <n v="0"/>
    <n v="72.099999999999994"/>
  </r>
  <r>
    <x v="854"/>
    <d v="2025-02-28T00:00:00"/>
    <x v="1"/>
    <s v="North"/>
    <s v="Mobile"/>
    <s v="Paid Search"/>
    <s v="Free"/>
    <n v="1"/>
    <n v="1"/>
    <n v="1"/>
    <n v="1"/>
    <n v="398.33"/>
    <n v="0"/>
    <n v="0"/>
    <n v="5"/>
    <n v="85.1"/>
  </r>
  <r>
    <x v="855"/>
    <d v="2025-05-27T00:00:00"/>
    <x v="1"/>
    <s v="North"/>
    <s v="Mobile"/>
    <s v="Organic"/>
    <s v="Basic"/>
    <n v="1"/>
    <n v="1"/>
    <n v="1"/>
    <n v="0"/>
    <n v="0"/>
    <n v="0"/>
    <n v="0"/>
    <n v="0"/>
    <n v="49.5"/>
  </r>
  <r>
    <x v="856"/>
    <d v="2025-05-17T00:00:00"/>
    <x v="1"/>
    <s v="South"/>
    <s v="Mobile"/>
    <s v="Paid Search"/>
    <s v="Premium"/>
    <n v="0"/>
    <n v="0"/>
    <n v="0"/>
    <n v="0"/>
    <n v="0"/>
    <n v="1"/>
    <n v="0"/>
    <n v="0"/>
    <n v="79"/>
  </r>
  <r>
    <x v="857"/>
    <d v="2025-01-10T00:00:00"/>
    <x v="1"/>
    <s v="West"/>
    <s v="Desktop"/>
    <s v="Social"/>
    <s v="Free"/>
    <n v="0"/>
    <n v="0"/>
    <n v="0"/>
    <n v="0"/>
    <n v="0"/>
    <n v="0"/>
    <n v="0"/>
    <n v="0"/>
    <n v="71.8"/>
  </r>
  <r>
    <x v="858"/>
    <d v="2025-04-22T00:00:00"/>
    <x v="1"/>
    <s v="North"/>
    <s v="Mobile"/>
    <s v="Email"/>
    <s v="Basic"/>
    <n v="1"/>
    <n v="1"/>
    <n v="1"/>
    <n v="1"/>
    <n v="1117.54"/>
    <n v="0"/>
    <n v="0"/>
    <n v="6"/>
    <n v="60.4"/>
  </r>
  <r>
    <x v="859"/>
    <d v="2025-03-02T00:00:00"/>
    <x v="1"/>
    <s v="South"/>
    <s v="Desktop"/>
    <s v="Organic"/>
    <s v="Basic"/>
    <n v="1"/>
    <n v="0"/>
    <n v="0"/>
    <n v="0"/>
    <n v="0"/>
    <n v="2"/>
    <n v="0"/>
    <n v="0"/>
    <n v="38.299999999999997"/>
  </r>
  <r>
    <x v="860"/>
    <d v="2025-03-23T00:00:00"/>
    <x v="1"/>
    <s v="East"/>
    <s v="Mobile"/>
    <s v="Paid Search"/>
    <s v="Free"/>
    <n v="1"/>
    <n v="1"/>
    <n v="1"/>
    <n v="0"/>
    <n v="0"/>
    <n v="0"/>
    <n v="0"/>
    <n v="0"/>
    <n v="79.599999999999994"/>
  </r>
  <r>
    <x v="861"/>
    <d v="2025-02-12T00:00:00"/>
    <x v="1"/>
    <s v="East"/>
    <s v="Mobile"/>
    <s v="Email"/>
    <s v="Free"/>
    <n v="1"/>
    <n v="1"/>
    <n v="1"/>
    <n v="0"/>
    <n v="0"/>
    <n v="0"/>
    <n v="0"/>
    <n v="0"/>
    <n v="71.900000000000006"/>
  </r>
  <r>
    <x v="862"/>
    <d v="2025-05-03T00:00:00"/>
    <x v="1"/>
    <s v="South"/>
    <s v="Mobile"/>
    <s v="Referral"/>
    <s v="Basic"/>
    <n v="1"/>
    <n v="0"/>
    <n v="0"/>
    <n v="0"/>
    <n v="0"/>
    <n v="0"/>
    <n v="0"/>
    <n v="0"/>
    <n v="54.6"/>
  </r>
  <r>
    <x v="863"/>
    <d v="2025-03-28T00:00:00"/>
    <x v="1"/>
    <s v="North"/>
    <s v="Desktop"/>
    <s v="Social"/>
    <s v="Free"/>
    <n v="1"/>
    <n v="0"/>
    <n v="0"/>
    <n v="0"/>
    <n v="0"/>
    <n v="3"/>
    <n v="0"/>
    <n v="0"/>
    <n v="49.3"/>
  </r>
  <r>
    <x v="864"/>
    <d v="2025-03-12T00:00:00"/>
    <x v="1"/>
    <s v="North"/>
    <s v="Mobile"/>
    <s v="Social"/>
    <s v="Basic"/>
    <n v="0"/>
    <n v="0"/>
    <n v="0"/>
    <n v="0"/>
    <n v="0"/>
    <n v="1"/>
    <n v="0"/>
    <n v="0"/>
    <n v="66.900000000000006"/>
  </r>
  <r>
    <x v="865"/>
    <d v="2025-04-27T00:00:00"/>
    <x v="1"/>
    <s v="East"/>
    <s v="Mobile"/>
    <s v="Paid Search"/>
    <s v="Free"/>
    <n v="1"/>
    <n v="0"/>
    <n v="0"/>
    <n v="0"/>
    <n v="0"/>
    <n v="1"/>
    <n v="0"/>
    <n v="0"/>
    <n v="77.8"/>
  </r>
  <r>
    <x v="866"/>
    <d v="2025-04-02T00:00:00"/>
    <x v="1"/>
    <s v="South"/>
    <s v="Mobile"/>
    <s v="Referral"/>
    <s v="Basic"/>
    <n v="1"/>
    <n v="0"/>
    <n v="0"/>
    <n v="0"/>
    <n v="0"/>
    <n v="0"/>
    <n v="0"/>
    <n v="0"/>
    <n v="63"/>
  </r>
  <r>
    <x v="867"/>
    <d v="2025-04-21T00:00:00"/>
    <x v="1"/>
    <s v="North"/>
    <s v="Mobile"/>
    <s v="Social"/>
    <s v="Free"/>
    <n v="0"/>
    <n v="0"/>
    <n v="0"/>
    <n v="0"/>
    <n v="0"/>
    <n v="0"/>
    <n v="0"/>
    <n v="0"/>
    <n v="79.8"/>
  </r>
  <r>
    <x v="868"/>
    <d v="2025-01-26T00:00:00"/>
    <x v="1"/>
    <s v="West"/>
    <s v="Desktop"/>
    <s v="Organic"/>
    <s v="Basic"/>
    <n v="0"/>
    <n v="0"/>
    <n v="0"/>
    <n v="0"/>
    <n v="0"/>
    <n v="0"/>
    <n v="0"/>
    <n v="0"/>
    <n v="69.900000000000006"/>
  </r>
  <r>
    <x v="869"/>
    <d v="2025-01-06T00:00:00"/>
    <x v="1"/>
    <s v="West"/>
    <s v="Mobile"/>
    <s v="Organic"/>
    <s v="Free"/>
    <n v="0"/>
    <n v="0"/>
    <n v="0"/>
    <n v="0"/>
    <n v="0"/>
    <n v="1"/>
    <n v="0"/>
    <n v="0"/>
    <n v="66.400000000000006"/>
  </r>
  <r>
    <x v="870"/>
    <d v="2025-02-07T00:00:00"/>
    <x v="1"/>
    <s v="East"/>
    <s v="Mobile"/>
    <s v="Organic"/>
    <s v="Free"/>
    <n v="1"/>
    <n v="0"/>
    <n v="0"/>
    <n v="0"/>
    <n v="0"/>
    <n v="0"/>
    <n v="0"/>
    <n v="0"/>
    <n v="27.6"/>
  </r>
  <r>
    <x v="871"/>
    <d v="2025-05-07T00:00:00"/>
    <x v="1"/>
    <s v="West"/>
    <s v="Mobile"/>
    <s v="Organic"/>
    <s v="Premium"/>
    <n v="1"/>
    <n v="0"/>
    <n v="0"/>
    <n v="0"/>
    <n v="0"/>
    <n v="1"/>
    <n v="0"/>
    <n v="0"/>
    <n v="56.5"/>
  </r>
  <r>
    <x v="872"/>
    <d v="2025-04-22T00:00:00"/>
    <x v="1"/>
    <s v="West"/>
    <s v="Unknown"/>
    <s v="Social"/>
    <s v="Free"/>
    <n v="1"/>
    <n v="0"/>
    <n v="0"/>
    <n v="0"/>
    <n v="0"/>
    <n v="0"/>
    <n v="0"/>
    <n v="0"/>
    <n v="67.8"/>
  </r>
  <r>
    <x v="873"/>
    <d v="2025-05-04T00:00:00"/>
    <x v="1"/>
    <s v="West"/>
    <s v="Desktop"/>
    <s v="Social"/>
    <s v="Free"/>
    <n v="1"/>
    <n v="0"/>
    <n v="0"/>
    <n v="0"/>
    <n v="0"/>
    <n v="0"/>
    <n v="0"/>
    <n v="0"/>
    <n v="80"/>
  </r>
  <r>
    <x v="874"/>
    <d v="2025-05-16T00:00:00"/>
    <x v="1"/>
    <s v="South"/>
    <s v="Mobile"/>
    <s v="Social"/>
    <s v="Basic"/>
    <n v="1"/>
    <n v="1"/>
    <n v="1"/>
    <n v="0"/>
    <n v="0"/>
    <n v="1"/>
    <n v="0"/>
    <n v="0"/>
    <n v="80.900000000000006"/>
  </r>
  <r>
    <x v="875"/>
    <d v="2025-02-11T00:00:00"/>
    <x v="1"/>
    <s v="West"/>
    <s v="Mobile"/>
    <s v="Paid Search"/>
    <s v="Free"/>
    <n v="0"/>
    <n v="0"/>
    <n v="0"/>
    <n v="0"/>
    <n v="0"/>
    <n v="0"/>
    <n v="0"/>
    <n v="0"/>
    <n v="34.5"/>
  </r>
  <r>
    <x v="876"/>
    <d v="2025-05-09T00:00:00"/>
    <x v="1"/>
    <s v="East"/>
    <s v="Desktop"/>
    <s v="Organic"/>
    <s v="Premium"/>
    <n v="1"/>
    <n v="0"/>
    <n v="0"/>
    <n v="0"/>
    <n v="0"/>
    <n v="0"/>
    <n v="0"/>
    <n v="0"/>
    <n v="73.5"/>
  </r>
  <r>
    <x v="877"/>
    <d v="2025-02-09T00:00:00"/>
    <x v="1"/>
    <s v="South"/>
    <s v="Desktop"/>
    <s v="Paid Search"/>
    <s v="Free"/>
    <n v="1"/>
    <n v="1"/>
    <n v="0"/>
    <n v="0"/>
    <n v="0"/>
    <n v="0"/>
    <n v="0"/>
    <n v="0"/>
    <n v="70"/>
  </r>
  <r>
    <x v="878"/>
    <d v="2025-05-22T00:00:00"/>
    <x v="1"/>
    <s v="West"/>
    <s v="Mobile"/>
    <s v="Social"/>
    <s v="Basic"/>
    <n v="0"/>
    <n v="0"/>
    <n v="0"/>
    <n v="0"/>
    <n v="0"/>
    <n v="0"/>
    <n v="0"/>
    <n v="0"/>
    <n v="86.9"/>
  </r>
  <r>
    <x v="879"/>
    <d v="2025-05-24T00:00:00"/>
    <x v="1"/>
    <s v="East"/>
    <s v="Mobile"/>
    <s v="Social"/>
    <s v="Basic"/>
    <n v="0"/>
    <n v="0"/>
    <n v="0"/>
    <n v="0"/>
    <n v="0"/>
    <n v="0"/>
    <n v="0"/>
    <n v="0"/>
    <n v="66.900000000000006"/>
  </r>
  <r>
    <x v="880"/>
    <d v="2025-04-27T00:00:00"/>
    <x v="1"/>
    <s v="South"/>
    <s v="Desktop"/>
    <s v="Social"/>
    <s v="Basic"/>
    <n v="1"/>
    <n v="1"/>
    <n v="1"/>
    <n v="0"/>
    <n v="0"/>
    <n v="0"/>
    <n v="0"/>
    <n v="0"/>
    <n v="58.3"/>
  </r>
  <r>
    <x v="881"/>
    <d v="2025-03-19T00:00:00"/>
    <x v="1"/>
    <s v="East"/>
    <s v="Mobile"/>
    <s v="Paid Search"/>
    <s v="Free"/>
    <n v="1"/>
    <n v="0"/>
    <n v="0"/>
    <n v="0"/>
    <n v="0"/>
    <n v="0"/>
    <n v="0"/>
    <n v="0"/>
    <n v="45"/>
  </r>
  <r>
    <x v="882"/>
    <d v="2025-05-20T00:00:00"/>
    <x v="1"/>
    <s v="South"/>
    <s v="Mobile"/>
    <s v="Organic"/>
    <s v="Premium"/>
    <n v="0"/>
    <n v="0"/>
    <n v="0"/>
    <n v="0"/>
    <n v="0"/>
    <n v="0"/>
    <n v="0"/>
    <n v="0"/>
    <n v="60.8"/>
  </r>
  <r>
    <x v="883"/>
    <d v="2025-05-10T00:00:00"/>
    <x v="1"/>
    <s v="North"/>
    <s v="Mobile"/>
    <s v="Email"/>
    <s v="Premium"/>
    <n v="1"/>
    <n v="0"/>
    <n v="0"/>
    <n v="0"/>
    <n v="0"/>
    <n v="4"/>
    <n v="0"/>
    <n v="0"/>
    <n v="53.7"/>
  </r>
  <r>
    <x v="884"/>
    <d v="2025-03-29T00:00:00"/>
    <x v="1"/>
    <s v="East"/>
    <s v="Mobile"/>
    <s v="Social"/>
    <s v="Free"/>
    <n v="1"/>
    <n v="1"/>
    <n v="1"/>
    <n v="0"/>
    <n v="0"/>
    <n v="0"/>
    <n v="0"/>
    <n v="0"/>
    <n v="48.8"/>
  </r>
  <r>
    <x v="885"/>
    <d v="2025-04-03T00:00:00"/>
    <x v="1"/>
    <s v="West"/>
    <s v="Desktop"/>
    <s v="Referral"/>
    <s v="Basic"/>
    <n v="0"/>
    <n v="0"/>
    <n v="0"/>
    <n v="0"/>
    <n v="0"/>
    <n v="0"/>
    <n v="0"/>
    <n v="0"/>
    <n v="52.9"/>
  </r>
  <r>
    <x v="886"/>
    <d v="2025-05-30T00:00:00"/>
    <x v="1"/>
    <s v="South"/>
    <s v="Mobile"/>
    <s v="Email"/>
    <s v="Free"/>
    <n v="1"/>
    <n v="0"/>
    <n v="0"/>
    <n v="0"/>
    <n v="0"/>
    <n v="0"/>
    <n v="0"/>
    <n v="0"/>
    <n v="42.4"/>
  </r>
  <r>
    <x v="887"/>
    <d v="2025-04-06T00:00:00"/>
    <x v="1"/>
    <s v="East"/>
    <s v="Desktop"/>
    <s v="Email"/>
    <s v="Free"/>
    <n v="1"/>
    <n v="0"/>
    <n v="0"/>
    <n v="0"/>
    <n v="0"/>
    <n v="0"/>
    <n v="0"/>
    <n v="0"/>
    <n v="58.7"/>
  </r>
  <r>
    <x v="888"/>
    <d v="2025-03-14T00:00:00"/>
    <x v="1"/>
    <s v="North"/>
    <s v="Mobile"/>
    <s v="Referral"/>
    <s v="Free"/>
    <n v="1"/>
    <n v="1"/>
    <n v="1"/>
    <n v="1"/>
    <n v="2064.5500000000002"/>
    <n v="0"/>
    <n v="0"/>
    <n v="1"/>
    <n v="67.8"/>
  </r>
  <r>
    <x v="889"/>
    <d v="2025-02-24T00:00:00"/>
    <x v="1"/>
    <s v="South"/>
    <s v="Desktop"/>
    <s v="Paid Search"/>
    <s v="Basic"/>
    <n v="1"/>
    <n v="0"/>
    <n v="0"/>
    <n v="0"/>
    <n v="0"/>
    <n v="0"/>
    <n v="0"/>
    <n v="0"/>
    <n v="62.6"/>
  </r>
  <r>
    <x v="890"/>
    <d v="2025-03-04T00:00:00"/>
    <x v="1"/>
    <s v="West"/>
    <s v="Mobile"/>
    <s v="Email"/>
    <s v="Basic"/>
    <n v="1"/>
    <n v="0"/>
    <n v="0"/>
    <n v="0"/>
    <n v="0"/>
    <n v="0"/>
    <n v="0"/>
    <n v="0"/>
    <n v="82.4"/>
  </r>
  <r>
    <x v="891"/>
    <d v="2025-04-02T00:00:00"/>
    <x v="1"/>
    <s v="North"/>
    <s v="Mobile"/>
    <s v="Organic"/>
    <s v="Free"/>
    <n v="1"/>
    <n v="1"/>
    <n v="1"/>
    <n v="0"/>
    <n v="0"/>
    <n v="0"/>
    <n v="0"/>
    <n v="0"/>
    <n v="50.4"/>
  </r>
  <r>
    <x v="892"/>
    <d v="2025-05-11T00:00:00"/>
    <x v="1"/>
    <s v="North"/>
    <s v="Mobile"/>
    <s v="Email"/>
    <s v="Premium"/>
    <n v="0"/>
    <n v="0"/>
    <n v="0"/>
    <n v="0"/>
    <n v="0"/>
    <n v="0"/>
    <n v="0"/>
    <n v="0"/>
    <n v="68.400000000000006"/>
  </r>
  <r>
    <x v="893"/>
    <d v="2025-05-10T00:00:00"/>
    <x v="1"/>
    <s v="West"/>
    <s v="Tablet"/>
    <s v="Paid Search"/>
    <s v="Basic"/>
    <n v="1"/>
    <n v="1"/>
    <n v="1"/>
    <n v="0"/>
    <n v="0"/>
    <n v="0"/>
    <n v="0"/>
    <n v="0"/>
    <n v="58.8"/>
  </r>
  <r>
    <x v="894"/>
    <d v="2025-05-06T00:00:00"/>
    <x v="1"/>
    <s v="West"/>
    <s v="Mobile"/>
    <s v="Referral"/>
    <s v="Free"/>
    <n v="1"/>
    <n v="1"/>
    <n v="0"/>
    <n v="0"/>
    <n v="0"/>
    <n v="2"/>
    <n v="0"/>
    <n v="0"/>
    <n v="28.3"/>
  </r>
  <r>
    <x v="895"/>
    <d v="2025-02-11T00:00:00"/>
    <x v="1"/>
    <s v="West"/>
    <s v="Desktop"/>
    <s v="Paid Search"/>
    <s v="Free"/>
    <n v="1"/>
    <n v="1"/>
    <n v="0"/>
    <n v="0"/>
    <n v="0"/>
    <n v="0"/>
    <n v="0"/>
    <n v="0"/>
    <n v="44.1"/>
  </r>
  <r>
    <x v="896"/>
    <d v="2025-05-09T00:00:00"/>
    <x v="1"/>
    <s v="South"/>
    <s v="Mobile"/>
    <s v="Paid Search"/>
    <s v="Premium"/>
    <n v="1"/>
    <n v="1"/>
    <n v="0"/>
    <n v="0"/>
    <n v="0"/>
    <n v="0"/>
    <n v="0"/>
    <n v="0"/>
    <n v="66.7"/>
  </r>
  <r>
    <x v="897"/>
    <d v="2025-02-02T00:00:00"/>
    <x v="1"/>
    <s v="South"/>
    <s v="Mobile"/>
    <s v="Unknown"/>
    <s v="Free"/>
    <n v="1"/>
    <n v="0"/>
    <n v="0"/>
    <n v="0"/>
    <n v="0"/>
    <n v="0"/>
    <n v="0"/>
    <n v="0"/>
    <n v="100"/>
  </r>
  <r>
    <x v="898"/>
    <d v="2025-04-03T00:00:00"/>
    <x v="1"/>
    <s v="South"/>
    <s v="Mobile"/>
    <s v="Social"/>
    <s v="Free"/>
    <n v="1"/>
    <n v="1"/>
    <n v="0"/>
    <n v="0"/>
    <n v="0"/>
    <n v="0"/>
    <n v="0"/>
    <n v="0"/>
    <n v="87.5"/>
  </r>
  <r>
    <x v="899"/>
    <d v="2025-02-15T00:00:00"/>
    <x v="1"/>
    <s v="North"/>
    <s v="Desktop"/>
    <s v="Organic"/>
    <s v="Basic"/>
    <n v="1"/>
    <n v="0"/>
    <n v="0"/>
    <n v="0"/>
    <n v="0"/>
    <n v="2"/>
    <n v="0"/>
    <n v="0"/>
    <n v="65.400000000000006"/>
  </r>
  <r>
    <x v="900"/>
    <d v="2025-04-18T00:00:00"/>
    <x v="1"/>
    <s v="South"/>
    <s v="Desktop"/>
    <s v="Organic"/>
    <s v="Free"/>
    <n v="1"/>
    <n v="0"/>
    <n v="0"/>
    <n v="0"/>
    <n v="0"/>
    <n v="0"/>
    <n v="0"/>
    <n v="0"/>
    <n v="22.9"/>
  </r>
  <r>
    <x v="901"/>
    <d v="2025-03-14T00:00:00"/>
    <x v="1"/>
    <s v="West"/>
    <s v="Desktop"/>
    <s v="Organic"/>
    <s v="Premium"/>
    <n v="0"/>
    <n v="0"/>
    <n v="0"/>
    <n v="0"/>
    <n v="0"/>
    <n v="0"/>
    <n v="0"/>
    <n v="0"/>
    <n v="64.599999999999994"/>
  </r>
  <r>
    <x v="902"/>
    <d v="2025-03-29T00:00:00"/>
    <x v="1"/>
    <s v="South"/>
    <s v="Mobile"/>
    <s v="Referral"/>
    <s v="Free"/>
    <n v="1"/>
    <n v="0"/>
    <n v="0"/>
    <n v="0"/>
    <n v="0"/>
    <n v="2"/>
    <n v="0"/>
    <n v="0"/>
    <n v="54.4"/>
  </r>
  <r>
    <x v="903"/>
    <d v="2025-02-13T00:00:00"/>
    <x v="1"/>
    <s v="North"/>
    <s v="Desktop"/>
    <s v="Organic"/>
    <s v="Free"/>
    <n v="1"/>
    <n v="1"/>
    <n v="1"/>
    <n v="0"/>
    <n v="0"/>
    <n v="0"/>
    <n v="0"/>
    <n v="0"/>
    <n v="56.8"/>
  </r>
  <r>
    <x v="904"/>
    <d v="2025-01-23T00:00:00"/>
    <x v="1"/>
    <s v="South"/>
    <s v="Mobile"/>
    <s v="Paid Search"/>
    <s v="Free"/>
    <n v="1"/>
    <n v="1"/>
    <n v="1"/>
    <n v="1"/>
    <n v="341.38"/>
    <n v="0"/>
    <n v="0"/>
    <n v="2"/>
    <n v="63.6"/>
  </r>
  <r>
    <x v="905"/>
    <d v="2025-02-24T00:00:00"/>
    <x v="1"/>
    <s v="East"/>
    <s v="Mobile"/>
    <s v="Social"/>
    <s v="Free"/>
    <n v="1"/>
    <n v="0"/>
    <n v="0"/>
    <n v="0"/>
    <n v="0"/>
    <n v="0"/>
    <n v="0"/>
    <n v="0"/>
    <n v="58.2"/>
  </r>
  <r>
    <x v="906"/>
    <d v="2025-02-28T00:00:00"/>
    <x v="1"/>
    <s v="West"/>
    <s v="Mobile"/>
    <s v="Paid Search"/>
    <s v="Free"/>
    <n v="1"/>
    <n v="1"/>
    <n v="0"/>
    <n v="0"/>
    <n v="0"/>
    <n v="0"/>
    <n v="0"/>
    <n v="0"/>
    <n v="54.6"/>
  </r>
  <r>
    <x v="907"/>
    <d v="2025-01-07T00:00:00"/>
    <x v="1"/>
    <s v="West"/>
    <s v="Tablet"/>
    <s v="Organic"/>
    <s v="Basic"/>
    <n v="1"/>
    <n v="0"/>
    <n v="0"/>
    <n v="0"/>
    <n v="0"/>
    <n v="0"/>
    <n v="0"/>
    <n v="0"/>
    <n v="81.900000000000006"/>
  </r>
  <r>
    <x v="908"/>
    <d v="2025-03-21T00:00:00"/>
    <x v="1"/>
    <s v="West"/>
    <s v="Desktop"/>
    <s v="Email"/>
    <s v="Free"/>
    <n v="1"/>
    <n v="0"/>
    <n v="0"/>
    <n v="0"/>
    <n v="0"/>
    <n v="3"/>
    <n v="0"/>
    <n v="0"/>
    <n v="53.3"/>
  </r>
  <r>
    <x v="909"/>
    <d v="2025-02-18T00:00:00"/>
    <x v="1"/>
    <s v="North"/>
    <s v="Desktop"/>
    <s v="Organic"/>
    <s v="Basic"/>
    <n v="0"/>
    <n v="0"/>
    <n v="0"/>
    <n v="0"/>
    <n v="0"/>
    <n v="0"/>
    <n v="0"/>
    <n v="0"/>
    <n v="54.2"/>
  </r>
  <r>
    <x v="910"/>
    <d v="2025-01-05T00:00:00"/>
    <x v="1"/>
    <s v="North"/>
    <s v="Mobile"/>
    <s v="Paid Search"/>
    <s v="Free"/>
    <n v="1"/>
    <n v="1"/>
    <n v="0"/>
    <n v="0"/>
    <n v="0"/>
    <n v="0"/>
    <n v="0"/>
    <n v="0"/>
    <n v="65.599999999999994"/>
  </r>
  <r>
    <x v="911"/>
    <d v="2025-03-11T00:00:00"/>
    <x v="1"/>
    <s v="East"/>
    <s v="Desktop"/>
    <s v="Organic"/>
    <s v="Basic"/>
    <n v="1"/>
    <n v="0"/>
    <n v="0"/>
    <n v="0"/>
    <n v="0"/>
    <n v="1"/>
    <n v="0"/>
    <n v="0"/>
    <n v="56.5"/>
  </r>
  <r>
    <x v="912"/>
    <d v="2025-01-09T00:00:00"/>
    <x v="1"/>
    <s v="North"/>
    <s v="Desktop"/>
    <s v="Organic"/>
    <s v="Basic"/>
    <n v="1"/>
    <n v="0"/>
    <n v="0"/>
    <n v="0"/>
    <n v="0"/>
    <n v="0"/>
    <n v="0"/>
    <n v="0"/>
    <n v="59.7"/>
  </r>
  <r>
    <x v="913"/>
    <d v="2025-01-08T00:00:00"/>
    <x v="1"/>
    <s v="South"/>
    <s v="Mobile"/>
    <s v="Organic"/>
    <s v="Free"/>
    <n v="1"/>
    <n v="1"/>
    <n v="1"/>
    <n v="0"/>
    <n v="0"/>
    <n v="0"/>
    <n v="0"/>
    <n v="0"/>
    <n v="72.5"/>
  </r>
  <r>
    <x v="914"/>
    <d v="2025-05-01T00:00:00"/>
    <x v="1"/>
    <s v="East"/>
    <s v="Desktop"/>
    <s v="Paid Search"/>
    <s v="Free"/>
    <n v="1"/>
    <n v="0"/>
    <n v="0"/>
    <n v="0"/>
    <n v="0"/>
    <n v="0"/>
    <n v="0"/>
    <n v="0"/>
    <n v="64.3"/>
  </r>
  <r>
    <x v="915"/>
    <d v="2025-03-03T00:00:00"/>
    <x v="1"/>
    <s v="South"/>
    <s v="Mobile"/>
    <s v="Social"/>
    <s v="Free"/>
    <n v="1"/>
    <n v="0"/>
    <n v="0"/>
    <n v="0"/>
    <n v="0"/>
    <n v="0"/>
    <n v="0"/>
    <n v="0"/>
    <n v="64.5"/>
  </r>
  <r>
    <x v="916"/>
    <d v="2025-02-23T00:00:00"/>
    <x v="1"/>
    <s v="West"/>
    <s v="Desktop"/>
    <s v="Social"/>
    <s v="Basic"/>
    <n v="1"/>
    <n v="1"/>
    <n v="1"/>
    <n v="0"/>
    <n v="0"/>
    <n v="0"/>
    <n v="0"/>
    <n v="0"/>
    <n v="70.599999999999994"/>
  </r>
  <r>
    <x v="917"/>
    <d v="2025-02-17T00:00:00"/>
    <x v="1"/>
    <s v="South"/>
    <s v="Desktop"/>
    <s v="Organic"/>
    <s v="Basic"/>
    <n v="0"/>
    <n v="0"/>
    <n v="0"/>
    <n v="0"/>
    <n v="0"/>
    <n v="0"/>
    <n v="0"/>
    <n v="0"/>
    <n v="58.4"/>
  </r>
  <r>
    <x v="918"/>
    <d v="2025-05-21T00:00:00"/>
    <x v="1"/>
    <s v="East"/>
    <s v="Mobile"/>
    <s v="Organic"/>
    <s v="Basic"/>
    <n v="1"/>
    <n v="0"/>
    <n v="0"/>
    <n v="0"/>
    <n v="0"/>
    <n v="0"/>
    <n v="0"/>
    <n v="0"/>
    <n v="56.6"/>
  </r>
  <r>
    <x v="919"/>
    <d v="2025-01-30T00:00:00"/>
    <x v="1"/>
    <s v="South"/>
    <s v="Mobile"/>
    <s v="Organic"/>
    <s v="Free"/>
    <n v="1"/>
    <n v="0"/>
    <n v="0"/>
    <n v="0"/>
    <n v="0"/>
    <n v="0"/>
    <n v="0"/>
    <n v="0"/>
    <n v="61.8"/>
  </r>
  <r>
    <x v="920"/>
    <d v="2025-03-20T00:00:00"/>
    <x v="1"/>
    <s v="West"/>
    <s v="Mobile"/>
    <s v="Email"/>
    <s v="Free"/>
    <n v="1"/>
    <n v="1"/>
    <n v="1"/>
    <n v="1"/>
    <n v="513.52"/>
    <n v="0"/>
    <n v="0"/>
    <n v="8"/>
    <n v="43.4"/>
  </r>
  <r>
    <x v="921"/>
    <d v="2025-04-10T00:00:00"/>
    <x v="1"/>
    <s v="West"/>
    <s v="Tablet"/>
    <s v="Paid Search"/>
    <s v="Free"/>
    <n v="0"/>
    <n v="0"/>
    <n v="0"/>
    <n v="0"/>
    <n v="0"/>
    <n v="0"/>
    <n v="0"/>
    <n v="0"/>
    <n v="43"/>
  </r>
  <r>
    <x v="922"/>
    <d v="2025-03-07T00:00:00"/>
    <x v="1"/>
    <s v="North"/>
    <s v="Desktop"/>
    <s v="Organic"/>
    <s v="Free"/>
    <n v="1"/>
    <n v="1"/>
    <n v="1"/>
    <n v="0"/>
    <n v="0"/>
    <n v="0"/>
    <n v="0"/>
    <n v="0"/>
    <n v="51.1"/>
  </r>
  <r>
    <x v="923"/>
    <d v="2025-03-12T00:00:00"/>
    <x v="1"/>
    <s v="West"/>
    <s v="Mobile"/>
    <s v="Email"/>
    <s v="Basic"/>
    <n v="1"/>
    <n v="0"/>
    <n v="0"/>
    <n v="0"/>
    <n v="0"/>
    <n v="0"/>
    <n v="0"/>
    <n v="0"/>
    <n v="48.8"/>
  </r>
  <r>
    <x v="924"/>
    <d v="2025-02-24T00:00:00"/>
    <x v="1"/>
    <s v="East"/>
    <s v="Mobile"/>
    <s v="Referral"/>
    <s v="Free"/>
    <n v="0"/>
    <n v="0"/>
    <n v="0"/>
    <n v="0"/>
    <n v="0"/>
    <n v="0"/>
    <n v="0"/>
    <n v="0"/>
    <n v="73.2"/>
  </r>
  <r>
    <x v="925"/>
    <d v="2025-01-15T00:00:00"/>
    <x v="1"/>
    <s v="East"/>
    <s v="Mobile"/>
    <s v="Referral"/>
    <s v="Free"/>
    <n v="1"/>
    <n v="1"/>
    <n v="1"/>
    <n v="0"/>
    <n v="0"/>
    <n v="0"/>
    <n v="0"/>
    <n v="0"/>
    <n v="80"/>
  </r>
  <r>
    <x v="926"/>
    <d v="2025-01-07T00:00:00"/>
    <x v="1"/>
    <s v="North"/>
    <s v="Desktop"/>
    <s v="Paid Search"/>
    <s v="Free"/>
    <n v="1"/>
    <n v="0"/>
    <n v="0"/>
    <n v="0"/>
    <n v="0"/>
    <n v="0"/>
    <n v="0"/>
    <n v="0"/>
    <n v="52.3"/>
  </r>
  <r>
    <x v="927"/>
    <d v="2025-03-02T00:00:00"/>
    <x v="1"/>
    <s v="North"/>
    <s v="Desktop"/>
    <s v="Organic"/>
    <s v="Free"/>
    <n v="0"/>
    <n v="0"/>
    <n v="0"/>
    <n v="0"/>
    <n v="0"/>
    <n v="0"/>
    <n v="0"/>
    <n v="0"/>
    <n v="49.1"/>
  </r>
  <r>
    <x v="928"/>
    <d v="2025-01-05T00:00:00"/>
    <x v="1"/>
    <s v="South"/>
    <s v="Desktop"/>
    <s v="Referral"/>
    <s v="Basic"/>
    <n v="0"/>
    <n v="0"/>
    <n v="0"/>
    <n v="0"/>
    <n v="0"/>
    <n v="0"/>
    <n v="0"/>
    <n v="0"/>
    <n v="45.3"/>
  </r>
  <r>
    <x v="929"/>
    <d v="2025-03-03T00:00:00"/>
    <x v="1"/>
    <s v="South"/>
    <s v="Mobile"/>
    <s v="Organic"/>
    <s v="Free"/>
    <n v="1"/>
    <n v="1"/>
    <n v="0"/>
    <n v="0"/>
    <n v="0"/>
    <n v="0"/>
    <n v="0"/>
    <n v="0"/>
    <n v="49.1"/>
  </r>
  <r>
    <x v="930"/>
    <d v="2025-03-31T00:00:00"/>
    <x v="1"/>
    <s v="East"/>
    <s v="Desktop"/>
    <s v="Referral"/>
    <s v="Free"/>
    <n v="1"/>
    <n v="1"/>
    <n v="1"/>
    <n v="1"/>
    <n v="476.44"/>
    <n v="0"/>
    <n v="0"/>
    <n v="3"/>
    <n v="88.6"/>
  </r>
  <r>
    <x v="931"/>
    <d v="2025-01-14T00:00:00"/>
    <x v="1"/>
    <s v="East"/>
    <s v="Desktop"/>
    <s v="Paid Search"/>
    <s v="Premium"/>
    <n v="0"/>
    <n v="0"/>
    <n v="0"/>
    <n v="0"/>
    <n v="0"/>
    <n v="1"/>
    <n v="0"/>
    <n v="0"/>
    <n v="54.4"/>
  </r>
  <r>
    <x v="932"/>
    <d v="2025-01-15T00:00:00"/>
    <x v="1"/>
    <s v="West"/>
    <s v="Desktop"/>
    <s v="Paid Search"/>
    <s v="Premium"/>
    <n v="1"/>
    <n v="0"/>
    <n v="0"/>
    <n v="0"/>
    <n v="0"/>
    <n v="0"/>
    <n v="0"/>
    <n v="0"/>
    <n v="72.900000000000006"/>
  </r>
  <r>
    <x v="933"/>
    <d v="2025-04-25T00:00:00"/>
    <x v="1"/>
    <s v="West"/>
    <s v="Desktop"/>
    <s v="Organic"/>
    <s v="Free"/>
    <n v="1"/>
    <n v="0"/>
    <n v="0"/>
    <n v="0"/>
    <n v="0"/>
    <n v="0"/>
    <n v="0"/>
    <n v="0"/>
    <n v="53.2"/>
  </r>
  <r>
    <x v="934"/>
    <d v="2025-03-21T00:00:00"/>
    <x v="1"/>
    <s v="East"/>
    <s v="Mobile"/>
    <s v="Organic"/>
    <s v="Basic"/>
    <n v="1"/>
    <n v="1"/>
    <n v="0"/>
    <n v="0"/>
    <n v="0"/>
    <n v="0"/>
    <n v="0"/>
    <n v="0"/>
    <n v="48.7"/>
  </r>
  <r>
    <x v="935"/>
    <d v="2025-04-26T00:00:00"/>
    <x v="1"/>
    <s v="South"/>
    <s v="Mobile"/>
    <s v="Paid Search"/>
    <s v="Basic"/>
    <n v="1"/>
    <n v="1"/>
    <n v="1"/>
    <n v="0"/>
    <n v="0"/>
    <n v="0"/>
    <n v="0"/>
    <n v="0"/>
    <n v="59.9"/>
  </r>
  <r>
    <x v="936"/>
    <d v="2025-05-21T00:00:00"/>
    <x v="1"/>
    <s v="South"/>
    <s v="Desktop"/>
    <s v="Unknown"/>
    <s v="Basic"/>
    <n v="0"/>
    <n v="0"/>
    <n v="0"/>
    <n v="0"/>
    <n v="0"/>
    <n v="0"/>
    <n v="0"/>
    <n v="0"/>
    <n v="82"/>
  </r>
  <r>
    <x v="937"/>
    <d v="2025-04-18T00:00:00"/>
    <x v="1"/>
    <s v="East"/>
    <s v="Mobile"/>
    <s v="Paid Search"/>
    <s v="Free"/>
    <n v="0"/>
    <n v="0"/>
    <n v="0"/>
    <n v="0"/>
    <n v="0"/>
    <n v="0"/>
    <n v="0"/>
    <n v="0"/>
    <n v="72.099999999999994"/>
  </r>
  <r>
    <x v="938"/>
    <d v="2025-01-29T00:00:00"/>
    <x v="1"/>
    <s v="North"/>
    <s v="Desktop"/>
    <s v="Email"/>
    <s v="Premium"/>
    <n v="1"/>
    <n v="1"/>
    <n v="0"/>
    <n v="0"/>
    <n v="0"/>
    <n v="0"/>
    <n v="0"/>
    <n v="0"/>
    <n v="68.3"/>
  </r>
  <r>
    <x v="939"/>
    <d v="2025-05-28T00:00:00"/>
    <x v="1"/>
    <s v="West"/>
    <s v="Mobile"/>
    <s v="Organic"/>
    <s v="Premium"/>
    <n v="0"/>
    <n v="0"/>
    <n v="0"/>
    <n v="0"/>
    <n v="0"/>
    <n v="0"/>
    <n v="0"/>
    <n v="0"/>
    <n v="100"/>
  </r>
  <r>
    <x v="940"/>
    <d v="2025-01-15T00:00:00"/>
    <x v="1"/>
    <s v="East"/>
    <s v="Mobile"/>
    <s v="Email"/>
    <s v="Free"/>
    <n v="1"/>
    <n v="1"/>
    <n v="1"/>
    <n v="0"/>
    <n v="0"/>
    <n v="2"/>
    <n v="0"/>
    <n v="0"/>
    <n v="76.5"/>
  </r>
  <r>
    <x v="941"/>
    <d v="2025-01-03T00:00:00"/>
    <x v="1"/>
    <s v="South"/>
    <s v="Mobile"/>
    <s v="Organic"/>
    <s v="Basic"/>
    <n v="1"/>
    <n v="1"/>
    <n v="0"/>
    <n v="0"/>
    <n v="0"/>
    <n v="0"/>
    <n v="0"/>
    <n v="0"/>
    <n v="62"/>
  </r>
  <r>
    <x v="942"/>
    <d v="2025-02-04T00:00:00"/>
    <x v="1"/>
    <s v="South"/>
    <s v="Mobile"/>
    <s v="Paid Search"/>
    <s v="Free"/>
    <n v="1"/>
    <n v="1"/>
    <n v="1"/>
    <n v="1"/>
    <n v="324.68"/>
    <n v="1"/>
    <n v="0"/>
    <n v="7"/>
    <n v="50.1"/>
  </r>
  <r>
    <x v="943"/>
    <d v="2025-02-22T00:00:00"/>
    <x v="1"/>
    <s v="South"/>
    <s v="Mobile"/>
    <s v="Referral"/>
    <s v="Premium"/>
    <n v="1"/>
    <n v="0"/>
    <n v="0"/>
    <n v="0"/>
    <n v="0"/>
    <n v="0"/>
    <n v="0"/>
    <n v="0"/>
    <n v="62.1"/>
  </r>
  <r>
    <x v="944"/>
    <d v="2025-05-06T00:00:00"/>
    <x v="1"/>
    <s v="West"/>
    <s v="Mobile"/>
    <s v="Organic"/>
    <s v="Basic"/>
    <n v="1"/>
    <n v="0"/>
    <n v="0"/>
    <n v="0"/>
    <n v="0"/>
    <n v="0"/>
    <n v="0"/>
    <n v="0"/>
    <n v="49.7"/>
  </r>
  <r>
    <x v="945"/>
    <d v="2025-01-31T00:00:00"/>
    <x v="1"/>
    <s v="South"/>
    <s v="Mobile"/>
    <s v="Organic"/>
    <s v="Free"/>
    <n v="1"/>
    <n v="0"/>
    <n v="0"/>
    <n v="0"/>
    <n v="0"/>
    <n v="3"/>
    <n v="0"/>
    <n v="0"/>
    <n v="71.099999999999994"/>
  </r>
  <r>
    <x v="946"/>
    <d v="2025-02-18T00:00:00"/>
    <x v="1"/>
    <s v="North"/>
    <s v="Mobile"/>
    <s v="Social"/>
    <s v="Basic"/>
    <n v="0"/>
    <n v="0"/>
    <n v="0"/>
    <n v="0"/>
    <n v="0"/>
    <n v="0"/>
    <n v="0"/>
    <n v="0"/>
    <n v="70.8"/>
  </r>
  <r>
    <x v="947"/>
    <d v="2025-04-23T00:00:00"/>
    <x v="1"/>
    <s v="East"/>
    <s v="Mobile"/>
    <s v="Paid Search"/>
    <s v="Free"/>
    <n v="1"/>
    <n v="1"/>
    <n v="1"/>
    <n v="1"/>
    <n v="301.98"/>
    <n v="0"/>
    <n v="0"/>
    <n v="10"/>
    <n v="52.2"/>
  </r>
  <r>
    <x v="948"/>
    <d v="2025-02-06T00:00:00"/>
    <x v="1"/>
    <s v="North"/>
    <s v="Mobile"/>
    <s v="Organic"/>
    <s v="Free"/>
    <n v="1"/>
    <n v="1"/>
    <n v="1"/>
    <n v="0"/>
    <n v="0"/>
    <n v="0"/>
    <n v="0"/>
    <n v="0"/>
    <n v="73"/>
  </r>
  <r>
    <x v="949"/>
    <d v="2025-04-26T00:00:00"/>
    <x v="1"/>
    <s v="South"/>
    <s v="Desktop"/>
    <s v="Paid Search"/>
    <s v="Free"/>
    <n v="0"/>
    <n v="0"/>
    <n v="0"/>
    <n v="0"/>
    <n v="0"/>
    <n v="0"/>
    <n v="0"/>
    <n v="0"/>
    <n v="78.2"/>
  </r>
  <r>
    <x v="950"/>
    <d v="2025-03-30T00:00:00"/>
    <x v="1"/>
    <s v="West"/>
    <s v="Desktop"/>
    <s v="Paid Search"/>
    <s v="Basic"/>
    <n v="1"/>
    <n v="0"/>
    <n v="0"/>
    <n v="0"/>
    <n v="0"/>
    <n v="0"/>
    <n v="0"/>
    <n v="0"/>
    <n v="68.8"/>
  </r>
  <r>
    <x v="951"/>
    <d v="2025-04-13T00:00:00"/>
    <x v="1"/>
    <s v="West"/>
    <s v="Mobile"/>
    <s v="Unknown"/>
    <s v="Premium"/>
    <n v="1"/>
    <n v="0"/>
    <n v="0"/>
    <n v="0"/>
    <n v="0"/>
    <n v="0"/>
    <n v="0"/>
    <n v="0"/>
    <n v="57.1"/>
  </r>
  <r>
    <x v="952"/>
    <d v="2025-04-04T00:00:00"/>
    <x v="1"/>
    <s v="East"/>
    <s v="Desktop"/>
    <s v="Organic"/>
    <s v="Premium"/>
    <n v="0"/>
    <n v="0"/>
    <n v="0"/>
    <n v="0"/>
    <n v="0"/>
    <n v="1"/>
    <n v="0"/>
    <n v="0"/>
    <n v="74.599999999999994"/>
  </r>
  <r>
    <x v="953"/>
    <d v="2025-04-03T00:00:00"/>
    <x v="1"/>
    <s v="North"/>
    <s v="Desktop"/>
    <s v="Referral"/>
    <s v="Free"/>
    <n v="1"/>
    <n v="0"/>
    <n v="0"/>
    <n v="0"/>
    <n v="0"/>
    <n v="1"/>
    <n v="0"/>
    <n v="0"/>
    <n v="64.099999999999994"/>
  </r>
  <r>
    <x v="954"/>
    <d v="2025-03-14T00:00:00"/>
    <x v="1"/>
    <s v="West"/>
    <s v="Mobile"/>
    <s v="Paid Search"/>
    <s v="Premium"/>
    <n v="1"/>
    <n v="0"/>
    <n v="0"/>
    <n v="0"/>
    <n v="0"/>
    <n v="0"/>
    <n v="0"/>
    <n v="0"/>
    <n v="67.3"/>
  </r>
  <r>
    <x v="955"/>
    <d v="2025-01-14T00:00:00"/>
    <x v="1"/>
    <s v="West"/>
    <s v="Mobile"/>
    <s v="Referral"/>
    <s v="Free"/>
    <n v="0"/>
    <n v="0"/>
    <n v="0"/>
    <n v="0"/>
    <n v="0"/>
    <n v="2"/>
    <n v="0"/>
    <n v="0"/>
    <n v="41"/>
  </r>
  <r>
    <x v="956"/>
    <d v="2025-05-05T00:00:00"/>
    <x v="1"/>
    <s v="West"/>
    <s v="Mobile"/>
    <s v="Paid Search"/>
    <s v="Free"/>
    <n v="0"/>
    <n v="0"/>
    <n v="0"/>
    <n v="0"/>
    <n v="0"/>
    <n v="0"/>
    <n v="0"/>
    <n v="0"/>
    <n v="48.1"/>
  </r>
  <r>
    <x v="957"/>
    <d v="2025-05-02T00:00:00"/>
    <x v="1"/>
    <s v="West"/>
    <s v="Desktop"/>
    <s v="Social"/>
    <s v="Free"/>
    <n v="0"/>
    <n v="0"/>
    <n v="0"/>
    <n v="0"/>
    <n v="0"/>
    <n v="1"/>
    <n v="0"/>
    <n v="0"/>
    <n v="60.8"/>
  </r>
  <r>
    <x v="958"/>
    <d v="2025-05-21T00:00:00"/>
    <x v="1"/>
    <s v="East"/>
    <s v="Mobile"/>
    <s v="Organic"/>
    <s v="Free"/>
    <n v="1"/>
    <n v="0"/>
    <n v="0"/>
    <n v="0"/>
    <n v="0"/>
    <n v="0"/>
    <n v="0"/>
    <n v="0"/>
    <n v="63.1"/>
  </r>
  <r>
    <x v="959"/>
    <d v="2025-05-16T00:00:00"/>
    <x v="1"/>
    <s v="North"/>
    <s v="Mobile"/>
    <s v="Referral"/>
    <s v="Premium"/>
    <n v="1"/>
    <n v="0"/>
    <n v="0"/>
    <n v="0"/>
    <n v="0"/>
    <n v="2"/>
    <n v="0"/>
    <n v="0"/>
    <n v="49.7"/>
  </r>
  <r>
    <x v="960"/>
    <d v="2025-05-24T00:00:00"/>
    <x v="1"/>
    <s v="East"/>
    <s v="Desktop"/>
    <s v="Organic"/>
    <s v="Premium"/>
    <n v="1"/>
    <n v="1"/>
    <n v="1"/>
    <n v="0"/>
    <n v="0"/>
    <n v="1"/>
    <n v="0"/>
    <n v="0"/>
    <n v="83.4"/>
  </r>
  <r>
    <x v="961"/>
    <d v="2025-03-18T00:00:00"/>
    <x v="1"/>
    <s v="East"/>
    <s v="Mobile"/>
    <s v="Organic"/>
    <s v="Basic"/>
    <n v="1"/>
    <n v="0"/>
    <n v="0"/>
    <n v="0"/>
    <n v="0"/>
    <n v="0"/>
    <n v="0"/>
    <n v="0"/>
    <n v="75.900000000000006"/>
  </r>
  <r>
    <x v="962"/>
    <d v="2025-01-11T00:00:00"/>
    <x v="1"/>
    <s v="East"/>
    <s v="Desktop"/>
    <s v="Paid Search"/>
    <s v="Free"/>
    <n v="0"/>
    <n v="0"/>
    <n v="0"/>
    <n v="0"/>
    <n v="0"/>
    <n v="1"/>
    <n v="0"/>
    <n v="0"/>
    <n v="71.8"/>
  </r>
  <r>
    <x v="963"/>
    <d v="2025-02-09T00:00:00"/>
    <x v="1"/>
    <s v="South"/>
    <s v="Mobile"/>
    <s v="Organic"/>
    <s v="Basic"/>
    <n v="0"/>
    <n v="0"/>
    <n v="0"/>
    <n v="0"/>
    <n v="0"/>
    <n v="0"/>
    <n v="0"/>
    <n v="0"/>
    <n v="37.9"/>
  </r>
  <r>
    <x v="964"/>
    <d v="2025-03-01T00:00:00"/>
    <x v="1"/>
    <s v="North"/>
    <s v="Desktop"/>
    <s v="Social"/>
    <s v="Free"/>
    <n v="1"/>
    <n v="0"/>
    <n v="0"/>
    <n v="0"/>
    <n v="0"/>
    <n v="0"/>
    <n v="0"/>
    <n v="0"/>
    <n v="59.8"/>
  </r>
  <r>
    <x v="965"/>
    <d v="2025-05-07T00:00:00"/>
    <x v="1"/>
    <s v="North"/>
    <s v="Mobile"/>
    <s v="Organic"/>
    <s v="Basic"/>
    <n v="0"/>
    <n v="0"/>
    <n v="0"/>
    <n v="0"/>
    <n v="0"/>
    <n v="0"/>
    <n v="0"/>
    <n v="0"/>
    <n v="66.900000000000006"/>
  </r>
  <r>
    <x v="966"/>
    <d v="2025-02-19T00:00:00"/>
    <x v="1"/>
    <s v="South"/>
    <s v="Desktop"/>
    <s v="Unknown"/>
    <s v="Free"/>
    <n v="1"/>
    <n v="0"/>
    <n v="0"/>
    <n v="0"/>
    <n v="0"/>
    <n v="0"/>
    <n v="0"/>
    <n v="0"/>
    <n v="59"/>
  </r>
  <r>
    <x v="967"/>
    <d v="2025-02-26T00:00:00"/>
    <x v="1"/>
    <s v="West"/>
    <s v="Mobile"/>
    <s v="Organic"/>
    <s v="Premium"/>
    <n v="1"/>
    <n v="0"/>
    <n v="0"/>
    <n v="0"/>
    <n v="0"/>
    <n v="0"/>
    <n v="0"/>
    <n v="0"/>
    <n v="80.099999999999994"/>
  </r>
  <r>
    <x v="968"/>
    <d v="2025-03-23T00:00:00"/>
    <x v="1"/>
    <s v="South"/>
    <s v="Mobile"/>
    <s v="Social"/>
    <s v="Free"/>
    <n v="0"/>
    <n v="0"/>
    <n v="0"/>
    <n v="0"/>
    <n v="0"/>
    <n v="0"/>
    <n v="0"/>
    <n v="0"/>
    <n v="64.3"/>
  </r>
  <r>
    <x v="969"/>
    <d v="2025-04-25T00:00:00"/>
    <x v="1"/>
    <s v="South"/>
    <s v="Desktop"/>
    <s v="Social"/>
    <s v="Free"/>
    <n v="0"/>
    <n v="0"/>
    <n v="0"/>
    <n v="0"/>
    <n v="0"/>
    <n v="1"/>
    <n v="0"/>
    <n v="0"/>
    <n v="57.4"/>
  </r>
  <r>
    <x v="970"/>
    <d v="2025-05-10T00:00:00"/>
    <x v="1"/>
    <s v="North"/>
    <s v="Desktop"/>
    <s v="Social"/>
    <s v="Free"/>
    <n v="1"/>
    <n v="1"/>
    <n v="1"/>
    <n v="0"/>
    <n v="0"/>
    <n v="0"/>
    <n v="0"/>
    <n v="0"/>
    <n v="83.6"/>
  </r>
  <r>
    <x v="971"/>
    <d v="2025-04-22T00:00:00"/>
    <x v="1"/>
    <s v="East"/>
    <s v="Mobile"/>
    <s v="Paid Search"/>
    <s v="Premium"/>
    <n v="0"/>
    <n v="0"/>
    <n v="0"/>
    <n v="0"/>
    <n v="0"/>
    <n v="0"/>
    <n v="0"/>
    <n v="0"/>
    <n v="45.8"/>
  </r>
  <r>
    <x v="972"/>
    <d v="2025-02-18T00:00:00"/>
    <x v="1"/>
    <s v="West"/>
    <s v="Mobile"/>
    <s v="Referral"/>
    <s v="Basic"/>
    <n v="1"/>
    <n v="1"/>
    <n v="1"/>
    <n v="0"/>
    <n v="0"/>
    <n v="0"/>
    <n v="0"/>
    <n v="0"/>
    <n v="64.3"/>
  </r>
  <r>
    <x v="973"/>
    <d v="2025-01-26T00:00:00"/>
    <x v="1"/>
    <s v="South"/>
    <s v="Mobile"/>
    <s v="Paid Search"/>
    <s v="Premium"/>
    <n v="1"/>
    <n v="1"/>
    <n v="1"/>
    <n v="0"/>
    <n v="0"/>
    <n v="0"/>
    <n v="0"/>
    <n v="0"/>
    <n v="80.5"/>
  </r>
  <r>
    <x v="974"/>
    <d v="2025-04-28T00:00:00"/>
    <x v="1"/>
    <s v="North"/>
    <s v="Mobile"/>
    <s v="Organic"/>
    <s v="Free"/>
    <n v="1"/>
    <n v="0"/>
    <n v="0"/>
    <n v="0"/>
    <n v="0"/>
    <n v="0"/>
    <n v="0"/>
    <n v="0"/>
    <n v="46.3"/>
  </r>
  <r>
    <x v="975"/>
    <d v="2025-04-02T00:00:00"/>
    <x v="1"/>
    <s v="South"/>
    <s v="Desktop"/>
    <s v="Email"/>
    <s v="Basic"/>
    <n v="1"/>
    <n v="0"/>
    <n v="0"/>
    <n v="0"/>
    <n v="0"/>
    <n v="0"/>
    <n v="0"/>
    <n v="0"/>
    <n v="71.599999999999994"/>
  </r>
  <r>
    <x v="976"/>
    <d v="2025-04-12T00:00:00"/>
    <x v="1"/>
    <s v="South"/>
    <s v="Desktop"/>
    <s v="Email"/>
    <s v="Premium"/>
    <n v="1"/>
    <n v="1"/>
    <n v="0"/>
    <n v="0"/>
    <n v="0"/>
    <n v="0"/>
    <n v="0"/>
    <n v="0"/>
    <n v="57.8"/>
  </r>
  <r>
    <x v="977"/>
    <d v="2025-01-03T00:00:00"/>
    <x v="1"/>
    <s v="West"/>
    <s v="Desktop"/>
    <s v="Email"/>
    <s v="Basic"/>
    <n v="1"/>
    <n v="1"/>
    <n v="1"/>
    <n v="0"/>
    <n v="0"/>
    <n v="1"/>
    <n v="0"/>
    <n v="0"/>
    <n v="57.8"/>
  </r>
  <r>
    <x v="978"/>
    <d v="2025-05-08T00:00:00"/>
    <x v="1"/>
    <s v="North"/>
    <s v="Mobile"/>
    <s v="Paid Search"/>
    <s v="Free"/>
    <n v="1"/>
    <n v="0"/>
    <n v="0"/>
    <n v="0"/>
    <n v="0"/>
    <n v="0"/>
    <n v="0"/>
    <n v="0"/>
    <n v="38.299999999999997"/>
  </r>
  <r>
    <x v="979"/>
    <d v="2025-02-20T00:00:00"/>
    <x v="1"/>
    <s v="North"/>
    <s v="Mobile"/>
    <s v="Referral"/>
    <s v="Premium"/>
    <n v="1"/>
    <n v="0"/>
    <n v="0"/>
    <n v="0"/>
    <n v="0"/>
    <n v="1"/>
    <n v="0"/>
    <n v="0"/>
    <n v="66.099999999999994"/>
  </r>
  <r>
    <x v="980"/>
    <d v="2025-03-17T00:00:00"/>
    <x v="1"/>
    <s v="North"/>
    <s v="Desktop"/>
    <s v="Paid Search"/>
    <s v="Premium"/>
    <n v="1"/>
    <n v="0"/>
    <n v="0"/>
    <n v="0"/>
    <n v="0"/>
    <n v="0"/>
    <n v="0"/>
    <n v="0"/>
    <n v="66.5"/>
  </r>
  <r>
    <x v="981"/>
    <d v="2025-04-10T00:00:00"/>
    <x v="1"/>
    <s v="South"/>
    <s v="Desktop"/>
    <s v="Email"/>
    <s v="Free"/>
    <n v="1"/>
    <n v="0"/>
    <n v="0"/>
    <n v="0"/>
    <n v="0"/>
    <n v="3"/>
    <n v="0"/>
    <n v="0"/>
    <n v="51.5"/>
  </r>
  <r>
    <x v="982"/>
    <d v="2025-05-08T00:00:00"/>
    <x v="1"/>
    <s v="North"/>
    <s v="Desktop"/>
    <s v="Referral"/>
    <s v="Free"/>
    <n v="1"/>
    <n v="0"/>
    <n v="0"/>
    <n v="0"/>
    <n v="0"/>
    <n v="0"/>
    <n v="0"/>
    <n v="0"/>
    <n v="59.9"/>
  </r>
  <r>
    <x v="983"/>
    <d v="2025-04-19T00:00:00"/>
    <x v="1"/>
    <s v="West"/>
    <s v="Mobile"/>
    <s v="Paid Search"/>
    <s v="Basic"/>
    <n v="1"/>
    <n v="0"/>
    <n v="0"/>
    <n v="0"/>
    <n v="0"/>
    <n v="0"/>
    <n v="0"/>
    <n v="0"/>
    <n v="58.8"/>
  </r>
  <r>
    <x v="984"/>
    <d v="2025-01-01T00:00:00"/>
    <x v="1"/>
    <s v="South"/>
    <s v="Tablet"/>
    <s v="Paid Search"/>
    <s v="Basic"/>
    <n v="1"/>
    <n v="0"/>
    <n v="0"/>
    <n v="0"/>
    <n v="0"/>
    <n v="0"/>
    <n v="0"/>
    <n v="0"/>
    <n v="69.599999999999994"/>
  </r>
  <r>
    <x v="985"/>
    <d v="2025-03-10T00:00:00"/>
    <x v="1"/>
    <s v="East"/>
    <s v="Mobile"/>
    <s v="Paid Search"/>
    <s v="Free"/>
    <n v="1"/>
    <n v="0"/>
    <n v="0"/>
    <n v="0"/>
    <n v="0"/>
    <n v="0"/>
    <n v="0"/>
    <n v="0"/>
    <n v="77.5"/>
  </r>
  <r>
    <x v="986"/>
    <d v="2025-03-10T00:00:00"/>
    <x v="1"/>
    <s v="East"/>
    <s v="Tablet"/>
    <s v="Social"/>
    <s v="Premium"/>
    <n v="0"/>
    <n v="0"/>
    <n v="0"/>
    <n v="0"/>
    <n v="0"/>
    <n v="2"/>
    <n v="0"/>
    <n v="0"/>
    <n v="57.5"/>
  </r>
  <r>
    <x v="987"/>
    <d v="2025-04-19T00:00:00"/>
    <x v="1"/>
    <s v="West"/>
    <s v="Tablet"/>
    <s v="Email"/>
    <s v="Basic"/>
    <n v="1"/>
    <n v="0"/>
    <n v="0"/>
    <n v="0"/>
    <n v="0"/>
    <n v="0"/>
    <n v="0"/>
    <n v="0"/>
    <n v="64.2"/>
  </r>
  <r>
    <x v="988"/>
    <d v="2025-04-11T00:00:00"/>
    <x v="1"/>
    <s v="West"/>
    <s v="Desktop"/>
    <s v="Organic"/>
    <s v="Free"/>
    <n v="0"/>
    <n v="0"/>
    <n v="0"/>
    <n v="0"/>
    <n v="0"/>
    <n v="0"/>
    <n v="0"/>
    <n v="0"/>
    <n v="60"/>
  </r>
  <r>
    <x v="989"/>
    <d v="2025-04-10T00:00:00"/>
    <x v="1"/>
    <s v="East"/>
    <s v="Mobile"/>
    <s v="Organic"/>
    <s v="Basic"/>
    <n v="1"/>
    <n v="0"/>
    <n v="0"/>
    <n v="0"/>
    <n v="0"/>
    <n v="1"/>
    <n v="0"/>
    <n v="0"/>
    <n v="43.7"/>
  </r>
  <r>
    <x v="990"/>
    <d v="2025-01-13T00:00:00"/>
    <x v="1"/>
    <s v="West"/>
    <s v="Desktop"/>
    <s v="Social"/>
    <s v="Free"/>
    <n v="1"/>
    <n v="0"/>
    <n v="0"/>
    <n v="0"/>
    <n v="0"/>
    <n v="0"/>
    <n v="0"/>
    <n v="0"/>
    <n v="64.900000000000006"/>
  </r>
  <r>
    <x v="991"/>
    <d v="2025-03-28T00:00:00"/>
    <x v="1"/>
    <s v="South"/>
    <s v="Desktop"/>
    <s v="Organic"/>
    <s v="Free"/>
    <n v="1"/>
    <n v="1"/>
    <n v="0"/>
    <n v="0"/>
    <n v="0"/>
    <n v="0"/>
    <n v="0"/>
    <n v="0"/>
    <n v="45.5"/>
  </r>
  <r>
    <x v="992"/>
    <d v="2025-01-29T00:00:00"/>
    <x v="1"/>
    <s v="East"/>
    <s v="Mobile"/>
    <s v="Paid Search"/>
    <s v="Free"/>
    <n v="1"/>
    <n v="1"/>
    <n v="1"/>
    <n v="1"/>
    <n v="1772.97"/>
    <n v="0"/>
    <n v="0"/>
    <n v="8"/>
    <n v="61.2"/>
  </r>
  <r>
    <x v="993"/>
    <d v="2025-03-27T00:00:00"/>
    <x v="1"/>
    <s v="South"/>
    <s v="Mobile"/>
    <s v="Referral"/>
    <s v="Free"/>
    <n v="0"/>
    <n v="0"/>
    <n v="0"/>
    <n v="0"/>
    <n v="0"/>
    <n v="0"/>
    <n v="0"/>
    <n v="0"/>
    <n v="87.8"/>
  </r>
  <r>
    <x v="994"/>
    <d v="2025-03-20T00:00:00"/>
    <x v="1"/>
    <s v="East"/>
    <s v="Tablet"/>
    <s v="Social"/>
    <s v="Free"/>
    <n v="0"/>
    <n v="0"/>
    <n v="0"/>
    <n v="0"/>
    <n v="0"/>
    <n v="0"/>
    <n v="0"/>
    <n v="0"/>
    <n v="86.4"/>
  </r>
  <r>
    <x v="995"/>
    <d v="2025-01-09T00:00:00"/>
    <x v="1"/>
    <s v="North"/>
    <s v="Mobile"/>
    <s v="Paid Search"/>
    <s v="Basic"/>
    <n v="0"/>
    <n v="0"/>
    <n v="0"/>
    <n v="0"/>
    <n v="0"/>
    <n v="1"/>
    <n v="0"/>
    <n v="0"/>
    <n v="71.400000000000006"/>
  </r>
  <r>
    <x v="996"/>
    <d v="2025-04-25T00:00:00"/>
    <x v="1"/>
    <s v="West"/>
    <s v="Mobile"/>
    <s v="Social"/>
    <s v="Free"/>
    <n v="1"/>
    <n v="1"/>
    <n v="1"/>
    <n v="1"/>
    <n v="218.66"/>
    <n v="0"/>
    <n v="1"/>
    <n v="8"/>
    <n v="72.2"/>
  </r>
  <r>
    <x v="997"/>
    <d v="2025-04-11T00:00:00"/>
    <x v="1"/>
    <s v="South"/>
    <s v="Desktop"/>
    <s v="Social"/>
    <s v="Free"/>
    <n v="1"/>
    <n v="0"/>
    <n v="0"/>
    <n v="0"/>
    <n v="0"/>
    <n v="0"/>
    <n v="0"/>
    <n v="0"/>
    <n v="51.9"/>
  </r>
  <r>
    <x v="998"/>
    <d v="2025-02-05T00:00:00"/>
    <x v="1"/>
    <s v="East"/>
    <s v="Mobile"/>
    <s v="Social"/>
    <s v="Basic"/>
    <n v="1"/>
    <n v="1"/>
    <n v="1"/>
    <n v="0"/>
    <n v="0"/>
    <n v="0"/>
    <n v="0"/>
    <n v="0"/>
    <n v="70.3"/>
  </r>
  <r>
    <x v="999"/>
    <d v="2025-03-28T00:00:00"/>
    <x v="1"/>
    <s v="South"/>
    <s v="Mobile"/>
    <s v="Social"/>
    <s v="Premium"/>
    <n v="1"/>
    <n v="0"/>
    <n v="0"/>
    <n v="0"/>
    <n v="0"/>
    <n v="1"/>
    <n v="0"/>
    <n v="0"/>
    <n v="49.2"/>
  </r>
  <r>
    <x v="1000"/>
    <d v="2025-05-14T00:00:00"/>
    <x v="1"/>
    <s v="South"/>
    <s v="Mobile"/>
    <s v="Referral"/>
    <s v="Free"/>
    <n v="0"/>
    <n v="0"/>
    <n v="0"/>
    <n v="0"/>
    <n v="0"/>
    <n v="0"/>
    <n v="0"/>
    <n v="0"/>
    <n v="52.2"/>
  </r>
  <r>
    <x v="1001"/>
    <d v="2025-03-10T00:00:00"/>
    <x v="1"/>
    <s v="East"/>
    <s v="Mobile"/>
    <s v="Paid Search"/>
    <s v="Basic"/>
    <n v="0"/>
    <n v="0"/>
    <n v="0"/>
    <n v="0"/>
    <n v="0"/>
    <n v="1"/>
    <n v="0"/>
    <n v="0"/>
    <n v="62.6"/>
  </r>
  <r>
    <x v="1002"/>
    <d v="2025-04-09T00:00:00"/>
    <x v="1"/>
    <s v="East"/>
    <s v="Desktop"/>
    <s v="Paid Search"/>
    <s v="Free"/>
    <n v="1"/>
    <n v="1"/>
    <n v="0"/>
    <n v="0"/>
    <n v="0"/>
    <n v="0"/>
    <n v="0"/>
    <n v="0"/>
    <n v="100"/>
  </r>
  <r>
    <x v="1003"/>
    <d v="2025-02-13T00:00:00"/>
    <x v="1"/>
    <s v="North"/>
    <s v="Mobile"/>
    <s v="Referral"/>
    <s v="Basic"/>
    <n v="1"/>
    <n v="1"/>
    <n v="1"/>
    <n v="0"/>
    <n v="0"/>
    <n v="2"/>
    <n v="0"/>
    <n v="0"/>
    <n v="45.9"/>
  </r>
  <r>
    <x v="1004"/>
    <d v="2025-05-03T00:00:00"/>
    <x v="1"/>
    <s v="East"/>
    <s v="Mobile"/>
    <s v="Email"/>
    <s v="Free"/>
    <n v="1"/>
    <n v="1"/>
    <n v="1"/>
    <n v="0"/>
    <n v="0"/>
    <n v="0"/>
    <n v="0"/>
    <n v="0"/>
    <n v="80.7"/>
  </r>
  <r>
    <x v="1005"/>
    <d v="2025-04-16T00:00:00"/>
    <x v="1"/>
    <s v="South"/>
    <s v="Desktop"/>
    <s v="Referral"/>
    <s v="Premium"/>
    <n v="1"/>
    <n v="0"/>
    <n v="0"/>
    <n v="0"/>
    <n v="0"/>
    <n v="0"/>
    <n v="0"/>
    <n v="0"/>
    <n v="51.9"/>
  </r>
  <r>
    <x v="1006"/>
    <d v="2025-04-30T00:00:00"/>
    <x v="1"/>
    <s v="North"/>
    <s v="Mobile"/>
    <s v="Paid Search"/>
    <s v="Premium"/>
    <n v="1"/>
    <n v="0"/>
    <n v="0"/>
    <n v="0"/>
    <n v="0"/>
    <n v="0"/>
    <n v="0"/>
    <n v="0"/>
    <n v="68.900000000000006"/>
  </r>
  <r>
    <x v="1007"/>
    <d v="2025-02-18T00:00:00"/>
    <x v="1"/>
    <s v="West"/>
    <s v="Desktop"/>
    <s v="Organic"/>
    <s v="Free"/>
    <n v="1"/>
    <n v="0"/>
    <n v="0"/>
    <n v="0"/>
    <n v="0"/>
    <n v="0"/>
    <n v="0"/>
    <n v="0"/>
    <n v="66"/>
  </r>
  <r>
    <x v="1008"/>
    <d v="2025-05-22T00:00:00"/>
    <x v="1"/>
    <s v="West"/>
    <s v="Desktop"/>
    <s v="Referral"/>
    <s v="Basic"/>
    <n v="0"/>
    <n v="0"/>
    <n v="0"/>
    <n v="0"/>
    <n v="0"/>
    <n v="0"/>
    <n v="0"/>
    <n v="0"/>
    <n v="63.1"/>
  </r>
  <r>
    <x v="1009"/>
    <d v="2025-05-21T00:00:00"/>
    <x v="1"/>
    <s v="South"/>
    <s v="Desktop"/>
    <s v="Organic"/>
    <s v="Free"/>
    <n v="0"/>
    <n v="0"/>
    <n v="0"/>
    <n v="0"/>
    <n v="0"/>
    <n v="0"/>
    <n v="0"/>
    <n v="0"/>
    <n v="56"/>
  </r>
  <r>
    <x v="1010"/>
    <d v="2025-04-10T00:00:00"/>
    <x v="1"/>
    <s v="East"/>
    <s v="Desktop"/>
    <s v="Organic"/>
    <s v="Free"/>
    <n v="1"/>
    <n v="0"/>
    <n v="0"/>
    <n v="0"/>
    <n v="0"/>
    <n v="1"/>
    <n v="0"/>
    <n v="0"/>
    <n v="65.7"/>
  </r>
  <r>
    <x v="1011"/>
    <d v="2025-01-07T00:00:00"/>
    <x v="1"/>
    <s v="North"/>
    <s v="Desktop"/>
    <s v="Organic"/>
    <s v="Premium"/>
    <n v="1"/>
    <n v="1"/>
    <n v="1"/>
    <n v="1"/>
    <n v="1938.31"/>
    <n v="1"/>
    <n v="0"/>
    <n v="9"/>
    <n v="60.9"/>
  </r>
  <r>
    <x v="1012"/>
    <d v="2025-02-03T00:00:00"/>
    <x v="1"/>
    <s v="South"/>
    <s v="Desktop"/>
    <s v="Social"/>
    <s v="Free"/>
    <n v="0"/>
    <n v="0"/>
    <n v="0"/>
    <n v="0"/>
    <n v="0"/>
    <n v="0"/>
    <n v="0"/>
    <n v="0"/>
    <n v="45.5"/>
  </r>
  <r>
    <x v="1013"/>
    <d v="2025-05-18T00:00:00"/>
    <x v="1"/>
    <s v="North"/>
    <s v="Mobile"/>
    <s v="Paid Search"/>
    <s v="Free"/>
    <n v="1"/>
    <n v="0"/>
    <n v="0"/>
    <n v="0"/>
    <n v="0"/>
    <n v="0"/>
    <n v="0"/>
    <n v="0"/>
    <n v="50"/>
  </r>
  <r>
    <x v="1014"/>
    <d v="2025-01-31T00:00:00"/>
    <x v="1"/>
    <s v="North"/>
    <s v="Mobile"/>
    <s v="Referral"/>
    <s v="Free"/>
    <n v="1"/>
    <n v="0"/>
    <n v="0"/>
    <n v="0"/>
    <n v="0"/>
    <n v="0"/>
    <n v="0"/>
    <n v="0"/>
    <n v="72.099999999999994"/>
  </r>
  <r>
    <x v="1015"/>
    <d v="2025-01-16T00:00:00"/>
    <x v="1"/>
    <s v="South"/>
    <s v="Desktop"/>
    <s v="Organic"/>
    <s v="Basic"/>
    <n v="1"/>
    <n v="0"/>
    <n v="0"/>
    <n v="0"/>
    <n v="0"/>
    <n v="0"/>
    <n v="0"/>
    <n v="0"/>
    <n v="76.3"/>
  </r>
  <r>
    <x v="1016"/>
    <d v="2025-05-14T00:00:00"/>
    <x v="1"/>
    <s v="East"/>
    <s v="Mobile"/>
    <s v="Paid Search"/>
    <s v="Basic"/>
    <n v="1"/>
    <n v="1"/>
    <n v="0"/>
    <n v="0"/>
    <n v="0"/>
    <n v="1"/>
    <n v="0"/>
    <n v="0"/>
    <n v="54.8"/>
  </r>
  <r>
    <x v="1017"/>
    <d v="2025-04-01T00:00:00"/>
    <x v="1"/>
    <s v="South"/>
    <s v="Mobile"/>
    <s v="Unknown"/>
    <s v="Basic"/>
    <n v="1"/>
    <n v="0"/>
    <n v="0"/>
    <n v="0"/>
    <n v="0"/>
    <n v="0"/>
    <n v="0"/>
    <n v="0"/>
    <n v="63.6"/>
  </r>
  <r>
    <x v="1018"/>
    <d v="2025-04-23T00:00:00"/>
    <x v="1"/>
    <s v="South"/>
    <s v="Mobile"/>
    <s v="Organic"/>
    <s v="Free"/>
    <n v="1"/>
    <n v="0"/>
    <n v="0"/>
    <n v="0"/>
    <n v="0"/>
    <n v="0"/>
    <n v="0"/>
    <n v="0"/>
    <n v="68.8"/>
  </r>
  <r>
    <x v="1019"/>
    <d v="2025-03-02T00:00:00"/>
    <x v="1"/>
    <s v="South"/>
    <s v="Desktop"/>
    <s v="Paid Search"/>
    <s v="Basic"/>
    <n v="1"/>
    <n v="0"/>
    <n v="0"/>
    <n v="0"/>
    <n v="0"/>
    <n v="0"/>
    <n v="0"/>
    <n v="0"/>
    <n v="63.2"/>
  </r>
  <r>
    <x v="1020"/>
    <d v="2025-01-02T00:00:00"/>
    <x v="1"/>
    <s v="East"/>
    <s v="Mobile"/>
    <s v="Paid Search"/>
    <s v="Basic"/>
    <n v="0"/>
    <n v="0"/>
    <n v="0"/>
    <n v="0"/>
    <n v="0"/>
    <n v="0"/>
    <n v="0"/>
    <n v="0"/>
    <n v="45"/>
  </r>
  <r>
    <x v="1021"/>
    <d v="2025-05-04T00:00:00"/>
    <x v="1"/>
    <s v="South"/>
    <s v="Mobile"/>
    <s v="Organic"/>
    <s v="Free"/>
    <n v="1"/>
    <n v="0"/>
    <n v="0"/>
    <n v="0"/>
    <n v="0"/>
    <n v="0"/>
    <n v="0"/>
    <n v="0"/>
    <n v="77.400000000000006"/>
  </r>
  <r>
    <x v="1022"/>
    <d v="2025-01-16T00:00:00"/>
    <x v="1"/>
    <s v="East"/>
    <s v="Desktop"/>
    <s v="Paid Search"/>
    <s v="Basic"/>
    <n v="0"/>
    <n v="0"/>
    <n v="0"/>
    <n v="0"/>
    <n v="0"/>
    <n v="0"/>
    <n v="0"/>
    <n v="0"/>
    <n v="53.1"/>
  </r>
  <r>
    <x v="1023"/>
    <d v="2025-02-11T00:00:00"/>
    <x v="1"/>
    <s v="West"/>
    <s v="Tablet"/>
    <s v="Paid Search"/>
    <s v="Premium"/>
    <n v="0"/>
    <n v="0"/>
    <n v="0"/>
    <n v="0"/>
    <n v="0"/>
    <n v="0"/>
    <n v="0"/>
    <n v="0"/>
    <n v="74"/>
  </r>
  <r>
    <x v="1024"/>
    <d v="2025-04-03T00:00:00"/>
    <x v="1"/>
    <s v="North"/>
    <s v="Mobile"/>
    <s v="Social"/>
    <s v="Premium"/>
    <n v="1"/>
    <n v="1"/>
    <n v="1"/>
    <n v="1"/>
    <n v="1906.23"/>
    <n v="0"/>
    <n v="0"/>
    <n v="4"/>
    <n v="84.6"/>
  </r>
  <r>
    <x v="1025"/>
    <d v="2025-03-26T00:00:00"/>
    <x v="1"/>
    <s v="East"/>
    <s v="Mobile"/>
    <s v="Referral"/>
    <s v="Free"/>
    <n v="1"/>
    <n v="0"/>
    <n v="0"/>
    <n v="0"/>
    <n v="0"/>
    <n v="0"/>
    <n v="0"/>
    <n v="0"/>
    <n v="57"/>
  </r>
  <r>
    <x v="1026"/>
    <d v="2025-05-16T00:00:00"/>
    <x v="1"/>
    <s v="South"/>
    <s v="Mobile"/>
    <s v="Email"/>
    <s v="Premium"/>
    <n v="0"/>
    <n v="0"/>
    <n v="0"/>
    <n v="0"/>
    <n v="0"/>
    <n v="0"/>
    <n v="0"/>
    <n v="0"/>
    <n v="46.3"/>
  </r>
  <r>
    <x v="1027"/>
    <d v="2025-04-20T00:00:00"/>
    <x v="1"/>
    <s v="West"/>
    <s v="Mobile"/>
    <s v="Social"/>
    <s v="Free"/>
    <n v="0"/>
    <n v="0"/>
    <n v="0"/>
    <n v="0"/>
    <n v="0"/>
    <n v="1"/>
    <n v="0"/>
    <n v="0"/>
    <n v="64.400000000000006"/>
  </r>
  <r>
    <x v="1028"/>
    <d v="2025-04-15T00:00:00"/>
    <x v="1"/>
    <s v="West"/>
    <s v="Mobile"/>
    <s v="Paid Search"/>
    <s v="Free"/>
    <n v="1"/>
    <n v="0"/>
    <n v="0"/>
    <n v="0"/>
    <n v="0"/>
    <n v="2"/>
    <n v="0"/>
    <n v="0"/>
    <n v="61.9"/>
  </r>
  <r>
    <x v="1029"/>
    <d v="2025-01-24T00:00:00"/>
    <x v="1"/>
    <s v="North"/>
    <s v="Mobile"/>
    <s v="Organic"/>
    <s v="Premium"/>
    <n v="1"/>
    <n v="1"/>
    <n v="1"/>
    <n v="0"/>
    <n v="0"/>
    <n v="0"/>
    <n v="0"/>
    <n v="0"/>
    <n v="93.7"/>
  </r>
  <r>
    <x v="1030"/>
    <d v="2025-04-11T00:00:00"/>
    <x v="1"/>
    <s v="South"/>
    <s v="Mobile"/>
    <s v="Referral"/>
    <s v="Basic"/>
    <n v="0"/>
    <n v="0"/>
    <n v="0"/>
    <n v="0"/>
    <n v="0"/>
    <n v="0"/>
    <n v="0"/>
    <n v="0"/>
    <n v="61.6"/>
  </r>
  <r>
    <x v="1031"/>
    <d v="2025-05-19T00:00:00"/>
    <x v="1"/>
    <s v="North"/>
    <s v="Mobile"/>
    <s v="Paid Search"/>
    <s v="Free"/>
    <n v="1"/>
    <n v="0"/>
    <n v="0"/>
    <n v="0"/>
    <n v="0"/>
    <n v="0"/>
    <n v="0"/>
    <n v="0"/>
    <n v="72.2"/>
  </r>
  <r>
    <x v="1032"/>
    <d v="2025-01-14T00:00:00"/>
    <x v="1"/>
    <s v="North"/>
    <s v="Mobile"/>
    <s v="Organic"/>
    <s v="Basic"/>
    <n v="0"/>
    <n v="0"/>
    <n v="0"/>
    <n v="0"/>
    <n v="0"/>
    <n v="0"/>
    <n v="0"/>
    <n v="0"/>
    <n v="69.5"/>
  </r>
  <r>
    <x v="1033"/>
    <d v="2025-02-28T00:00:00"/>
    <x v="1"/>
    <s v="East"/>
    <s v="Desktop"/>
    <s v="Organic"/>
    <s v="Basic"/>
    <n v="0"/>
    <n v="0"/>
    <n v="0"/>
    <n v="0"/>
    <n v="0"/>
    <n v="0"/>
    <n v="0"/>
    <n v="0"/>
    <n v="59.7"/>
  </r>
  <r>
    <x v="1034"/>
    <d v="2025-05-18T00:00:00"/>
    <x v="1"/>
    <s v="East"/>
    <s v="Tablet"/>
    <s v="Paid Search"/>
    <s v="Basic"/>
    <n v="1"/>
    <n v="0"/>
    <n v="0"/>
    <n v="0"/>
    <n v="0"/>
    <n v="0"/>
    <n v="0"/>
    <n v="0"/>
    <n v="73.900000000000006"/>
  </r>
  <r>
    <x v="1035"/>
    <d v="2025-01-04T00:00:00"/>
    <x v="1"/>
    <s v="North"/>
    <s v="Mobile"/>
    <s v="Social"/>
    <s v="Free"/>
    <n v="0"/>
    <n v="0"/>
    <n v="0"/>
    <n v="0"/>
    <n v="0"/>
    <n v="0"/>
    <n v="0"/>
    <n v="0"/>
    <n v="41.5"/>
  </r>
  <r>
    <x v="1036"/>
    <d v="2025-01-16T00:00:00"/>
    <x v="1"/>
    <s v="West"/>
    <s v="Mobile"/>
    <s v="Social"/>
    <s v="Premium"/>
    <n v="1"/>
    <n v="0"/>
    <n v="0"/>
    <n v="0"/>
    <n v="0"/>
    <n v="0"/>
    <n v="0"/>
    <n v="0"/>
    <n v="82.8"/>
  </r>
  <r>
    <x v="1037"/>
    <d v="2025-03-14T00:00:00"/>
    <x v="1"/>
    <s v="West"/>
    <s v="Mobile"/>
    <s v="Social"/>
    <s v="Premium"/>
    <n v="1"/>
    <n v="0"/>
    <n v="0"/>
    <n v="0"/>
    <n v="0"/>
    <n v="3"/>
    <n v="0"/>
    <n v="0"/>
    <n v="70.2"/>
  </r>
  <r>
    <x v="1038"/>
    <d v="2025-01-23T00:00:00"/>
    <x v="1"/>
    <s v="East"/>
    <s v="Mobile"/>
    <s v="Paid Search"/>
    <s v="Basic"/>
    <n v="1"/>
    <n v="0"/>
    <n v="0"/>
    <n v="0"/>
    <n v="0"/>
    <n v="1"/>
    <n v="0"/>
    <n v="0"/>
    <n v="69.400000000000006"/>
  </r>
  <r>
    <x v="1039"/>
    <d v="2025-02-03T00:00:00"/>
    <x v="1"/>
    <s v="North"/>
    <s v="Desktop"/>
    <s v="Organic"/>
    <s v="Basic"/>
    <n v="1"/>
    <n v="0"/>
    <n v="0"/>
    <n v="0"/>
    <n v="0"/>
    <n v="0"/>
    <n v="0"/>
    <n v="0"/>
    <n v="60.4"/>
  </r>
  <r>
    <x v="1040"/>
    <d v="2025-05-16T00:00:00"/>
    <x v="1"/>
    <s v="East"/>
    <s v="Mobile"/>
    <s v="Referral"/>
    <s v="Free"/>
    <n v="1"/>
    <n v="0"/>
    <n v="0"/>
    <n v="0"/>
    <n v="0"/>
    <n v="0"/>
    <n v="0"/>
    <n v="0"/>
    <n v="45.7"/>
  </r>
  <r>
    <x v="1041"/>
    <d v="2025-01-11T00:00:00"/>
    <x v="1"/>
    <s v="West"/>
    <s v="Mobile"/>
    <s v="Organic"/>
    <s v="Basic"/>
    <n v="0"/>
    <n v="0"/>
    <n v="0"/>
    <n v="0"/>
    <n v="0"/>
    <n v="1"/>
    <n v="0"/>
    <n v="0"/>
    <n v="42.2"/>
  </r>
  <r>
    <x v="1042"/>
    <d v="2025-05-25T00:00:00"/>
    <x v="1"/>
    <s v="North"/>
    <s v="Desktop"/>
    <s v="Organic"/>
    <s v="Free"/>
    <n v="0"/>
    <n v="0"/>
    <n v="0"/>
    <n v="0"/>
    <n v="0"/>
    <n v="2"/>
    <n v="0"/>
    <n v="0"/>
    <n v="61.9"/>
  </r>
  <r>
    <x v="1043"/>
    <d v="2025-05-08T00:00:00"/>
    <x v="1"/>
    <s v="East"/>
    <s v="Mobile"/>
    <s v="Paid Search"/>
    <s v="Premium"/>
    <n v="0"/>
    <n v="0"/>
    <n v="0"/>
    <n v="0"/>
    <n v="0"/>
    <n v="0"/>
    <n v="0"/>
    <n v="0"/>
    <n v="44.9"/>
  </r>
  <r>
    <x v="1044"/>
    <d v="2025-02-26T00:00:00"/>
    <x v="1"/>
    <s v="East"/>
    <s v="Desktop"/>
    <s v="Unknown"/>
    <s v="Basic"/>
    <n v="1"/>
    <n v="0"/>
    <n v="0"/>
    <n v="0"/>
    <n v="0"/>
    <n v="0"/>
    <n v="0"/>
    <n v="0"/>
    <n v="68"/>
  </r>
  <r>
    <x v="1045"/>
    <d v="2025-03-30T00:00:00"/>
    <x v="1"/>
    <s v="North"/>
    <s v="Mobile"/>
    <s v="Paid Search"/>
    <s v="Free"/>
    <n v="1"/>
    <n v="0"/>
    <n v="0"/>
    <n v="0"/>
    <n v="0"/>
    <n v="0"/>
    <n v="0"/>
    <n v="0"/>
    <n v="61"/>
  </r>
  <r>
    <x v="1046"/>
    <d v="2025-04-13T00:00:00"/>
    <x v="1"/>
    <s v="West"/>
    <s v="Mobile"/>
    <s v="Organic"/>
    <s v="Basic"/>
    <n v="1"/>
    <n v="0"/>
    <n v="0"/>
    <n v="0"/>
    <n v="0"/>
    <n v="0"/>
    <n v="0"/>
    <n v="0"/>
    <n v="55"/>
  </r>
  <r>
    <x v="1047"/>
    <d v="2025-02-20T00:00:00"/>
    <x v="1"/>
    <s v="East"/>
    <s v="Unknown"/>
    <s v="Paid Search"/>
    <s v="Basic"/>
    <n v="1"/>
    <n v="0"/>
    <n v="0"/>
    <n v="0"/>
    <n v="0"/>
    <n v="0"/>
    <n v="0"/>
    <n v="0"/>
    <n v="63.1"/>
  </r>
  <r>
    <x v="1048"/>
    <d v="2025-04-19T00:00:00"/>
    <x v="1"/>
    <s v="West"/>
    <s v="Desktop"/>
    <s v="Social"/>
    <s v="Free"/>
    <n v="1"/>
    <n v="0"/>
    <n v="0"/>
    <n v="0"/>
    <n v="0"/>
    <n v="0"/>
    <n v="0"/>
    <n v="0"/>
    <n v="75.8"/>
  </r>
  <r>
    <x v="1049"/>
    <d v="2025-03-22T00:00:00"/>
    <x v="1"/>
    <s v="South"/>
    <s v="Mobile"/>
    <s v="Paid Search"/>
    <s v="Free"/>
    <n v="1"/>
    <n v="1"/>
    <n v="0"/>
    <n v="0"/>
    <n v="0"/>
    <n v="1"/>
    <n v="0"/>
    <n v="0"/>
    <n v="43.8"/>
  </r>
  <r>
    <x v="1050"/>
    <d v="2025-02-28T00:00:00"/>
    <x v="1"/>
    <s v="North"/>
    <s v="Mobile"/>
    <s v="Email"/>
    <s v="Basic"/>
    <n v="1"/>
    <n v="1"/>
    <n v="0"/>
    <n v="0"/>
    <n v="0"/>
    <n v="0"/>
    <n v="0"/>
    <n v="0"/>
    <n v="46.8"/>
  </r>
  <r>
    <x v="1051"/>
    <d v="2025-05-24T00:00:00"/>
    <x v="1"/>
    <s v="East"/>
    <s v="Mobile"/>
    <s v="Social"/>
    <s v="Free"/>
    <n v="1"/>
    <n v="1"/>
    <n v="1"/>
    <n v="0"/>
    <n v="0"/>
    <n v="0"/>
    <n v="0"/>
    <n v="0"/>
    <n v="97.4"/>
  </r>
  <r>
    <x v="1052"/>
    <d v="2025-02-03T00:00:00"/>
    <x v="1"/>
    <s v="North"/>
    <s v="Desktop"/>
    <s v="Email"/>
    <s v="Free"/>
    <n v="1"/>
    <n v="1"/>
    <n v="1"/>
    <n v="1"/>
    <n v="268.95999999999998"/>
    <n v="0"/>
    <n v="0"/>
    <n v="14"/>
    <n v="81"/>
  </r>
  <r>
    <x v="1053"/>
    <d v="2025-01-27T00:00:00"/>
    <x v="1"/>
    <s v="South"/>
    <s v="Mobile"/>
    <s v="Organic"/>
    <s v="Free"/>
    <n v="1"/>
    <n v="0"/>
    <n v="0"/>
    <n v="0"/>
    <n v="0"/>
    <n v="1"/>
    <n v="0"/>
    <n v="0"/>
    <n v="58.9"/>
  </r>
  <r>
    <x v="1054"/>
    <d v="2025-04-17T00:00:00"/>
    <x v="1"/>
    <s v="East"/>
    <s v="Mobile"/>
    <s v="Organic"/>
    <s v="Free"/>
    <n v="1"/>
    <n v="0"/>
    <n v="0"/>
    <n v="0"/>
    <n v="0"/>
    <n v="0"/>
    <n v="0"/>
    <n v="0"/>
    <n v="51.9"/>
  </r>
  <r>
    <x v="1055"/>
    <d v="2025-02-06T00:00:00"/>
    <x v="1"/>
    <s v="West"/>
    <s v="Mobile"/>
    <s v="Social"/>
    <s v="Free"/>
    <n v="1"/>
    <n v="1"/>
    <n v="0"/>
    <n v="0"/>
    <n v="0"/>
    <n v="0"/>
    <n v="0"/>
    <n v="0"/>
    <n v="61.7"/>
  </r>
  <r>
    <x v="1056"/>
    <d v="2025-04-20T00:00:00"/>
    <x v="1"/>
    <s v="South"/>
    <s v="Mobile"/>
    <s v="Paid Search"/>
    <s v="Free"/>
    <n v="1"/>
    <n v="0"/>
    <n v="0"/>
    <n v="0"/>
    <n v="0"/>
    <n v="0"/>
    <n v="0"/>
    <n v="0"/>
    <n v="44.7"/>
  </r>
  <r>
    <x v="1057"/>
    <d v="2025-05-06T00:00:00"/>
    <x v="1"/>
    <s v="North"/>
    <s v="Mobile"/>
    <s v="Paid Search"/>
    <s v="Basic"/>
    <n v="0"/>
    <n v="0"/>
    <n v="0"/>
    <n v="0"/>
    <n v="0"/>
    <n v="0"/>
    <n v="0"/>
    <n v="0"/>
    <n v="63.2"/>
  </r>
  <r>
    <x v="1058"/>
    <d v="2025-05-16T00:00:00"/>
    <x v="1"/>
    <s v="South"/>
    <s v="Mobile"/>
    <s v="Organic"/>
    <s v="Free"/>
    <n v="1"/>
    <n v="0"/>
    <n v="0"/>
    <n v="0"/>
    <n v="0"/>
    <n v="0"/>
    <n v="0"/>
    <n v="0"/>
    <n v="70.3"/>
  </r>
  <r>
    <x v="1059"/>
    <d v="2025-03-02T00:00:00"/>
    <x v="1"/>
    <s v="South"/>
    <s v="Mobile"/>
    <s v="Paid Search"/>
    <s v="Premium"/>
    <n v="1"/>
    <n v="1"/>
    <n v="0"/>
    <n v="0"/>
    <n v="0"/>
    <n v="1"/>
    <n v="0"/>
    <n v="0"/>
    <n v="83.1"/>
  </r>
  <r>
    <x v="1060"/>
    <d v="2025-04-09T00:00:00"/>
    <x v="1"/>
    <s v="West"/>
    <s v="Mobile"/>
    <s v="Social"/>
    <s v="Free"/>
    <n v="0"/>
    <n v="0"/>
    <n v="0"/>
    <n v="0"/>
    <n v="0"/>
    <n v="0"/>
    <n v="0"/>
    <n v="0"/>
    <n v="50.3"/>
  </r>
  <r>
    <x v="1061"/>
    <d v="2025-01-26T00:00:00"/>
    <x v="1"/>
    <s v="East"/>
    <s v="Mobile"/>
    <s v="Paid Search"/>
    <s v="Free"/>
    <n v="1"/>
    <n v="1"/>
    <n v="1"/>
    <n v="1"/>
    <n v="437.09"/>
    <n v="2"/>
    <n v="1"/>
    <n v="1"/>
    <n v="58.2"/>
  </r>
  <r>
    <x v="1062"/>
    <d v="2025-02-25T00:00:00"/>
    <x v="1"/>
    <s v="South"/>
    <s v="Mobile"/>
    <s v="Paid Search"/>
    <s v="Basic"/>
    <n v="1"/>
    <n v="1"/>
    <n v="1"/>
    <n v="0"/>
    <n v="0"/>
    <n v="0"/>
    <n v="0"/>
    <n v="0"/>
    <n v="53.2"/>
  </r>
  <r>
    <x v="1063"/>
    <d v="2025-01-07T00:00:00"/>
    <x v="1"/>
    <s v="East"/>
    <s v="Mobile"/>
    <s v="Organic"/>
    <s v="Premium"/>
    <n v="0"/>
    <n v="0"/>
    <n v="0"/>
    <n v="0"/>
    <n v="0"/>
    <n v="0"/>
    <n v="0"/>
    <n v="0"/>
    <n v="36.4"/>
  </r>
  <r>
    <x v="1064"/>
    <d v="2025-03-08T00:00:00"/>
    <x v="1"/>
    <s v="South"/>
    <s v="Mobile"/>
    <s v="Social"/>
    <s v="Basic"/>
    <n v="1"/>
    <n v="1"/>
    <n v="1"/>
    <n v="0"/>
    <n v="0"/>
    <n v="0"/>
    <n v="0"/>
    <n v="0"/>
    <n v="72.7"/>
  </r>
  <r>
    <x v="1065"/>
    <d v="2025-05-22T00:00:00"/>
    <x v="1"/>
    <s v="East"/>
    <s v="Mobile"/>
    <s v="Referral"/>
    <s v="Free"/>
    <n v="1"/>
    <n v="0"/>
    <n v="0"/>
    <n v="0"/>
    <n v="0"/>
    <n v="1"/>
    <n v="0"/>
    <n v="0"/>
    <n v="86.7"/>
  </r>
  <r>
    <x v="1066"/>
    <d v="2025-04-18T00:00:00"/>
    <x v="1"/>
    <s v="East"/>
    <s v="Mobile"/>
    <s v="Paid Search"/>
    <s v="Premium"/>
    <n v="1"/>
    <n v="0"/>
    <n v="0"/>
    <n v="0"/>
    <n v="0"/>
    <n v="0"/>
    <n v="0"/>
    <n v="0"/>
    <n v="48.2"/>
  </r>
  <r>
    <x v="1067"/>
    <d v="2025-02-24T00:00:00"/>
    <x v="1"/>
    <s v="West"/>
    <s v="Mobile"/>
    <s v="Referral"/>
    <s v="Basic"/>
    <n v="0"/>
    <n v="0"/>
    <n v="0"/>
    <n v="0"/>
    <n v="0"/>
    <n v="1"/>
    <n v="0"/>
    <n v="0"/>
    <n v="57.6"/>
  </r>
  <r>
    <x v="1068"/>
    <d v="2025-02-11T00:00:00"/>
    <x v="1"/>
    <s v="North"/>
    <s v="Mobile"/>
    <s v="Organic"/>
    <s v="Free"/>
    <n v="1"/>
    <n v="1"/>
    <n v="1"/>
    <n v="0"/>
    <n v="0"/>
    <n v="0"/>
    <n v="0"/>
    <n v="0"/>
    <n v="75.7"/>
  </r>
  <r>
    <x v="1069"/>
    <d v="2025-03-11T00:00:00"/>
    <x v="1"/>
    <s v="West"/>
    <s v="Desktop"/>
    <s v="Paid Search"/>
    <s v="Free"/>
    <n v="1"/>
    <n v="0"/>
    <n v="0"/>
    <n v="0"/>
    <n v="0"/>
    <n v="2"/>
    <n v="0"/>
    <n v="0"/>
    <n v="48.6"/>
  </r>
  <r>
    <x v="1070"/>
    <d v="2025-04-11T00:00:00"/>
    <x v="1"/>
    <s v="East"/>
    <s v="Tablet"/>
    <s v="Referral"/>
    <s v="Free"/>
    <n v="1"/>
    <n v="1"/>
    <n v="1"/>
    <n v="0"/>
    <n v="0"/>
    <n v="0"/>
    <n v="0"/>
    <n v="0"/>
    <n v="72"/>
  </r>
  <r>
    <x v="1071"/>
    <d v="2025-03-11T00:00:00"/>
    <x v="1"/>
    <s v="North"/>
    <s v="Mobile"/>
    <s v="Organic"/>
    <s v="Free"/>
    <n v="0"/>
    <n v="0"/>
    <n v="0"/>
    <n v="0"/>
    <n v="0"/>
    <n v="0"/>
    <n v="0"/>
    <n v="0"/>
    <n v="72.2"/>
  </r>
  <r>
    <x v="1072"/>
    <d v="2025-05-22T00:00:00"/>
    <x v="1"/>
    <s v="East"/>
    <s v="Mobile"/>
    <s v="Referral"/>
    <s v="Free"/>
    <n v="1"/>
    <n v="0"/>
    <n v="0"/>
    <n v="0"/>
    <n v="0"/>
    <n v="1"/>
    <n v="0"/>
    <n v="0"/>
    <n v="0"/>
  </r>
  <r>
    <x v="1073"/>
    <d v="2025-02-22T00:00:00"/>
    <x v="1"/>
    <s v="South"/>
    <s v="Desktop"/>
    <s v="Organic"/>
    <s v="Free"/>
    <n v="1"/>
    <n v="1"/>
    <n v="1"/>
    <n v="1"/>
    <n v="331.53"/>
    <n v="2"/>
    <n v="0"/>
    <n v="4"/>
    <n v="56.8"/>
  </r>
  <r>
    <x v="1074"/>
    <d v="2025-01-13T00:00:00"/>
    <x v="1"/>
    <s v="East"/>
    <s v="Mobile"/>
    <s v="Paid Search"/>
    <s v="Basic"/>
    <n v="1"/>
    <n v="0"/>
    <n v="0"/>
    <n v="0"/>
    <n v="0"/>
    <n v="0"/>
    <n v="0"/>
    <n v="0"/>
    <n v="62.5"/>
  </r>
  <r>
    <x v="1075"/>
    <d v="2025-05-19T00:00:00"/>
    <x v="1"/>
    <s v="South"/>
    <s v="Mobile"/>
    <s v="Organic"/>
    <s v="Free"/>
    <n v="1"/>
    <n v="0"/>
    <n v="0"/>
    <n v="0"/>
    <n v="0"/>
    <n v="0"/>
    <n v="0"/>
    <n v="0"/>
    <n v="63.4"/>
  </r>
  <r>
    <x v="1076"/>
    <d v="2025-03-08T00:00:00"/>
    <x v="1"/>
    <s v="North"/>
    <s v="Tablet"/>
    <s v="Organic"/>
    <s v="Basic"/>
    <n v="1"/>
    <n v="1"/>
    <n v="1"/>
    <n v="1"/>
    <n v="774.78"/>
    <n v="0"/>
    <n v="0"/>
    <n v="3"/>
    <n v="46.8"/>
  </r>
  <r>
    <x v="1077"/>
    <d v="2025-04-20T00:00:00"/>
    <x v="1"/>
    <s v="South"/>
    <s v="Mobile"/>
    <s v="Organic"/>
    <s v="Free"/>
    <n v="1"/>
    <n v="1"/>
    <n v="1"/>
    <n v="1"/>
    <n v="422.02"/>
    <n v="0"/>
    <n v="0"/>
    <n v="8"/>
    <n v="86.5"/>
  </r>
  <r>
    <x v="1078"/>
    <d v="2025-05-08T00:00:00"/>
    <x v="1"/>
    <s v="West"/>
    <s v="Mobile"/>
    <s v="Email"/>
    <s v="Basic"/>
    <n v="0"/>
    <n v="0"/>
    <n v="0"/>
    <n v="0"/>
    <n v="0"/>
    <n v="1"/>
    <n v="0"/>
    <n v="0"/>
    <n v="75.099999999999994"/>
  </r>
  <r>
    <x v="1079"/>
    <d v="2025-05-10T00:00:00"/>
    <x v="1"/>
    <s v="South"/>
    <s v="Mobile"/>
    <s v="Organic"/>
    <s v="Basic"/>
    <n v="1"/>
    <n v="0"/>
    <n v="0"/>
    <n v="0"/>
    <n v="0"/>
    <n v="0"/>
    <n v="0"/>
    <n v="0"/>
    <n v="64.5"/>
  </r>
  <r>
    <x v="1080"/>
    <d v="2025-03-28T00:00:00"/>
    <x v="1"/>
    <s v="East"/>
    <s v="Mobile"/>
    <s v="Organic"/>
    <s v="Free"/>
    <n v="1"/>
    <n v="0"/>
    <n v="0"/>
    <n v="0"/>
    <n v="0"/>
    <n v="0"/>
    <n v="0"/>
    <n v="0"/>
    <n v="54.2"/>
  </r>
  <r>
    <x v="1081"/>
    <d v="2025-04-30T00:00:00"/>
    <x v="1"/>
    <s v="East"/>
    <s v="Mobile"/>
    <s v="Paid Search"/>
    <s v="Premium"/>
    <n v="1"/>
    <n v="1"/>
    <n v="1"/>
    <n v="0"/>
    <n v="0"/>
    <n v="0"/>
    <n v="0"/>
    <n v="0"/>
    <n v="84.1"/>
  </r>
  <r>
    <x v="1082"/>
    <d v="2025-02-08T00:00:00"/>
    <x v="1"/>
    <s v="North"/>
    <s v="Mobile"/>
    <s v="Organic"/>
    <s v="Basic"/>
    <n v="0"/>
    <n v="0"/>
    <n v="0"/>
    <n v="0"/>
    <n v="0"/>
    <n v="1"/>
    <n v="0"/>
    <n v="0"/>
    <n v="49.1"/>
  </r>
  <r>
    <x v="1083"/>
    <d v="2025-03-07T00:00:00"/>
    <x v="1"/>
    <s v="South"/>
    <s v="Mobile"/>
    <s v="Referral"/>
    <s v="Premium"/>
    <n v="0"/>
    <n v="0"/>
    <n v="0"/>
    <n v="0"/>
    <n v="0"/>
    <n v="0"/>
    <n v="0"/>
    <n v="0"/>
    <n v="92.7"/>
  </r>
  <r>
    <x v="1084"/>
    <d v="2025-05-21T00:00:00"/>
    <x v="1"/>
    <s v="South"/>
    <s v="Mobile"/>
    <s v="Social"/>
    <s v="Basic"/>
    <n v="1"/>
    <n v="1"/>
    <n v="1"/>
    <n v="0"/>
    <n v="0"/>
    <n v="1"/>
    <n v="0"/>
    <n v="0"/>
    <n v="58.7"/>
  </r>
  <r>
    <x v="1085"/>
    <d v="2025-04-12T00:00:00"/>
    <x v="1"/>
    <s v="South"/>
    <s v="Mobile"/>
    <s v="Social"/>
    <s v="Free"/>
    <n v="1"/>
    <n v="1"/>
    <n v="1"/>
    <n v="0"/>
    <n v="0"/>
    <n v="0"/>
    <n v="0"/>
    <n v="0"/>
    <n v="59.3"/>
  </r>
  <r>
    <x v="1086"/>
    <d v="2025-02-02T00:00:00"/>
    <x v="1"/>
    <s v="South"/>
    <s v="Mobile"/>
    <s v="Paid Search"/>
    <s v="Free"/>
    <n v="1"/>
    <n v="0"/>
    <n v="0"/>
    <n v="0"/>
    <n v="0"/>
    <n v="0"/>
    <n v="0"/>
    <n v="0"/>
    <n v="62"/>
  </r>
  <r>
    <x v="1087"/>
    <d v="2025-04-22T00:00:00"/>
    <x v="1"/>
    <s v="North"/>
    <s v="Tablet"/>
    <s v="Referral"/>
    <s v="Free"/>
    <n v="1"/>
    <n v="1"/>
    <n v="1"/>
    <n v="0"/>
    <n v="0"/>
    <n v="1"/>
    <n v="0"/>
    <n v="0"/>
    <n v="60.3"/>
  </r>
  <r>
    <x v="1088"/>
    <d v="2025-02-08T00:00:00"/>
    <x v="1"/>
    <s v="North"/>
    <s v="Mobile"/>
    <s v="Social"/>
    <s v="Basic"/>
    <n v="1"/>
    <n v="0"/>
    <n v="0"/>
    <n v="0"/>
    <n v="0"/>
    <n v="0"/>
    <n v="0"/>
    <n v="0"/>
    <n v="70.5"/>
  </r>
  <r>
    <x v="1089"/>
    <d v="2025-01-24T00:00:00"/>
    <x v="1"/>
    <s v="South"/>
    <s v="Desktop"/>
    <s v="Email"/>
    <s v="Free"/>
    <n v="1"/>
    <n v="0"/>
    <n v="0"/>
    <n v="0"/>
    <n v="0"/>
    <n v="0"/>
    <n v="0"/>
    <n v="0"/>
    <n v="36.799999999999997"/>
  </r>
  <r>
    <x v="1090"/>
    <d v="2025-05-12T00:00:00"/>
    <x v="1"/>
    <s v="South"/>
    <s v="Mobile"/>
    <s v="Paid Search"/>
    <s v="Basic"/>
    <n v="0"/>
    <n v="0"/>
    <n v="0"/>
    <n v="0"/>
    <n v="0"/>
    <n v="1"/>
    <n v="0"/>
    <n v="0"/>
    <n v="73.2"/>
  </r>
  <r>
    <x v="1091"/>
    <d v="2025-03-30T00:00:00"/>
    <x v="1"/>
    <s v="North"/>
    <s v="Mobile"/>
    <s v="Organic"/>
    <s v="Basic"/>
    <n v="0"/>
    <n v="0"/>
    <n v="0"/>
    <n v="0"/>
    <n v="0"/>
    <n v="0"/>
    <n v="0"/>
    <n v="0"/>
    <n v="70.099999999999994"/>
  </r>
  <r>
    <x v="1092"/>
    <d v="2025-01-02T00:00:00"/>
    <x v="1"/>
    <s v="South"/>
    <s v="Desktop"/>
    <s v="Paid Search"/>
    <s v="Basic"/>
    <n v="1"/>
    <n v="0"/>
    <n v="0"/>
    <n v="0"/>
    <n v="0"/>
    <n v="0"/>
    <n v="0"/>
    <n v="0"/>
    <n v="76.400000000000006"/>
  </r>
  <r>
    <x v="1093"/>
    <d v="2025-03-21T00:00:00"/>
    <x v="1"/>
    <s v="South"/>
    <s v="Tablet"/>
    <s v="Email"/>
    <s v="Basic"/>
    <n v="0"/>
    <n v="0"/>
    <n v="0"/>
    <n v="0"/>
    <n v="0"/>
    <n v="0"/>
    <n v="0"/>
    <n v="0"/>
    <n v="46.4"/>
  </r>
  <r>
    <x v="1094"/>
    <d v="2025-01-25T00:00:00"/>
    <x v="1"/>
    <s v="West"/>
    <s v="Mobile"/>
    <s v="Organic"/>
    <s v="Free"/>
    <n v="1"/>
    <n v="1"/>
    <n v="1"/>
    <n v="0"/>
    <n v="0"/>
    <n v="1"/>
    <n v="0"/>
    <n v="0"/>
    <n v="81.3"/>
  </r>
  <r>
    <x v="1095"/>
    <d v="2025-01-12T00:00:00"/>
    <x v="1"/>
    <s v="South"/>
    <s v="Tablet"/>
    <s v="Social"/>
    <s v="Free"/>
    <n v="1"/>
    <n v="1"/>
    <n v="1"/>
    <n v="0"/>
    <n v="0"/>
    <n v="0"/>
    <n v="0"/>
    <n v="0"/>
    <n v="55.3"/>
  </r>
  <r>
    <x v="1096"/>
    <d v="2025-03-18T00:00:00"/>
    <x v="1"/>
    <s v="East"/>
    <s v="Desktop"/>
    <s v="Referral"/>
    <s v="Free"/>
    <n v="1"/>
    <n v="0"/>
    <n v="0"/>
    <n v="0"/>
    <n v="0"/>
    <n v="0"/>
    <n v="0"/>
    <n v="0"/>
    <n v="44.7"/>
  </r>
  <r>
    <x v="1097"/>
    <d v="2025-03-26T00:00:00"/>
    <x v="1"/>
    <s v="East"/>
    <s v="Mobile"/>
    <s v="Paid Search"/>
    <s v="Basic"/>
    <n v="1"/>
    <n v="0"/>
    <n v="0"/>
    <n v="0"/>
    <n v="0"/>
    <n v="0"/>
    <n v="0"/>
    <n v="0"/>
    <n v="67.2"/>
  </r>
  <r>
    <x v="1098"/>
    <d v="2025-04-19T00:00:00"/>
    <x v="1"/>
    <s v="North"/>
    <s v="Mobile"/>
    <s v="Paid Search"/>
    <s v="Basic"/>
    <n v="1"/>
    <n v="0"/>
    <n v="0"/>
    <n v="0"/>
    <n v="0"/>
    <n v="0"/>
    <n v="0"/>
    <n v="0"/>
    <n v="0"/>
  </r>
  <r>
    <x v="1099"/>
    <d v="2025-04-17T00:00:00"/>
    <x v="1"/>
    <s v="East"/>
    <s v="Mobile"/>
    <s v="Organic"/>
    <s v="Premium"/>
    <n v="1"/>
    <n v="1"/>
    <n v="1"/>
    <n v="0"/>
    <n v="0"/>
    <n v="1"/>
    <n v="0"/>
    <n v="0"/>
    <n v="70.8"/>
  </r>
  <r>
    <x v="1100"/>
    <d v="2025-05-26T00:00:00"/>
    <x v="1"/>
    <s v="South"/>
    <s v="Mobile"/>
    <s v="Paid Search"/>
    <s v="Free"/>
    <n v="1"/>
    <n v="0"/>
    <n v="0"/>
    <n v="0"/>
    <n v="0"/>
    <n v="0"/>
    <n v="0"/>
    <n v="0"/>
    <n v="71.3"/>
  </r>
  <r>
    <x v="1101"/>
    <d v="2025-04-14T00:00:00"/>
    <x v="1"/>
    <s v="North"/>
    <s v="Mobile"/>
    <s v="Social"/>
    <s v="Premium"/>
    <n v="1"/>
    <n v="1"/>
    <n v="1"/>
    <n v="0"/>
    <n v="0"/>
    <n v="0"/>
    <n v="0"/>
    <n v="0"/>
    <n v="69.400000000000006"/>
  </r>
  <r>
    <x v="1102"/>
    <d v="2025-01-23T00:00:00"/>
    <x v="1"/>
    <s v="South"/>
    <s v="Mobile"/>
    <s v="Organic"/>
    <s v="Basic"/>
    <n v="1"/>
    <n v="1"/>
    <n v="0"/>
    <n v="0"/>
    <n v="0"/>
    <n v="0"/>
    <n v="0"/>
    <n v="0"/>
    <n v="58.9"/>
  </r>
  <r>
    <x v="1103"/>
    <d v="2025-01-06T00:00:00"/>
    <x v="1"/>
    <s v="East"/>
    <s v="Mobile"/>
    <s v="Referral"/>
    <s v="Free"/>
    <n v="0"/>
    <n v="0"/>
    <n v="0"/>
    <n v="0"/>
    <n v="0"/>
    <n v="0"/>
    <n v="0"/>
    <n v="0"/>
    <n v="70.7"/>
  </r>
  <r>
    <x v="1104"/>
    <d v="2025-05-31T00:00:00"/>
    <x v="1"/>
    <s v="West"/>
    <s v="Mobile"/>
    <s v="Email"/>
    <s v="Basic"/>
    <n v="1"/>
    <n v="0"/>
    <n v="0"/>
    <n v="0"/>
    <n v="0"/>
    <n v="0"/>
    <n v="0"/>
    <n v="0"/>
    <n v="60.5"/>
  </r>
  <r>
    <x v="1105"/>
    <d v="2025-05-19T00:00:00"/>
    <x v="1"/>
    <s v="North"/>
    <s v="Mobile"/>
    <s v="Organic"/>
    <s v="Basic"/>
    <n v="1"/>
    <n v="1"/>
    <n v="1"/>
    <n v="0"/>
    <n v="0"/>
    <n v="0"/>
    <n v="0"/>
    <n v="0"/>
    <n v="77.3"/>
  </r>
  <r>
    <x v="1106"/>
    <d v="2025-02-25T00:00:00"/>
    <x v="1"/>
    <s v="North"/>
    <s v="Mobile"/>
    <s v="Organic"/>
    <s v="Free"/>
    <n v="0"/>
    <n v="0"/>
    <n v="0"/>
    <n v="0"/>
    <n v="0"/>
    <n v="1"/>
    <n v="0"/>
    <n v="0"/>
    <n v="39.5"/>
  </r>
  <r>
    <x v="1107"/>
    <d v="2025-01-10T00:00:00"/>
    <x v="1"/>
    <s v="South"/>
    <s v="Tablet"/>
    <s v="Organic"/>
    <s v="Basic"/>
    <n v="1"/>
    <n v="0"/>
    <n v="0"/>
    <n v="0"/>
    <n v="0"/>
    <n v="0"/>
    <n v="0"/>
    <n v="0"/>
    <n v="68.099999999999994"/>
  </r>
  <r>
    <x v="1108"/>
    <d v="2025-05-13T00:00:00"/>
    <x v="1"/>
    <s v="North"/>
    <s v="Tablet"/>
    <s v="Paid Search"/>
    <s v="Free"/>
    <n v="0"/>
    <n v="0"/>
    <n v="0"/>
    <n v="0"/>
    <n v="0"/>
    <n v="0"/>
    <n v="0"/>
    <n v="0"/>
    <n v="80.3"/>
  </r>
  <r>
    <x v="1109"/>
    <d v="2025-04-27T00:00:00"/>
    <x v="1"/>
    <s v="West"/>
    <s v="Desktop"/>
    <s v="Organic"/>
    <s v="Premium"/>
    <n v="1"/>
    <n v="0"/>
    <n v="0"/>
    <n v="0"/>
    <n v="0"/>
    <n v="0"/>
    <n v="0"/>
    <n v="0"/>
    <n v="77.7"/>
  </r>
  <r>
    <x v="1110"/>
    <d v="2025-04-03T00:00:00"/>
    <x v="1"/>
    <s v="South"/>
    <s v="Mobile"/>
    <s v="Organic"/>
    <s v="Free"/>
    <n v="1"/>
    <n v="0"/>
    <n v="0"/>
    <n v="0"/>
    <n v="0"/>
    <n v="1"/>
    <n v="0"/>
    <n v="0"/>
    <n v="66.2"/>
  </r>
  <r>
    <x v="1111"/>
    <d v="2025-03-26T00:00:00"/>
    <x v="1"/>
    <s v="South"/>
    <s v="Mobile"/>
    <s v="Organic"/>
    <s v="Free"/>
    <n v="1"/>
    <n v="1"/>
    <n v="1"/>
    <n v="0"/>
    <n v="0"/>
    <n v="1"/>
    <n v="0"/>
    <n v="0"/>
    <n v="43.9"/>
  </r>
  <r>
    <x v="1112"/>
    <d v="2025-01-31T00:00:00"/>
    <x v="1"/>
    <s v="South"/>
    <s v="Mobile"/>
    <s v="Organic"/>
    <s v="Basic"/>
    <n v="1"/>
    <n v="1"/>
    <n v="1"/>
    <n v="0"/>
    <n v="0"/>
    <n v="2"/>
    <n v="0"/>
    <n v="0"/>
    <n v="59.1"/>
  </r>
  <r>
    <x v="1113"/>
    <d v="2025-01-25T00:00:00"/>
    <x v="1"/>
    <s v="South"/>
    <s v="Mobile"/>
    <s v="Social"/>
    <s v="Free"/>
    <n v="1"/>
    <n v="1"/>
    <n v="1"/>
    <n v="1"/>
    <n v="416.94"/>
    <n v="1"/>
    <n v="0"/>
    <n v="11"/>
    <n v="67"/>
  </r>
  <r>
    <x v="1114"/>
    <d v="2025-02-06T00:00:00"/>
    <x v="1"/>
    <s v="West"/>
    <s v="Mobile"/>
    <s v="Referral"/>
    <s v="Basic"/>
    <n v="1"/>
    <n v="0"/>
    <n v="0"/>
    <n v="0"/>
    <n v="0"/>
    <n v="0"/>
    <n v="0"/>
    <n v="0"/>
    <n v="47.9"/>
  </r>
  <r>
    <x v="1115"/>
    <d v="2025-03-10T00:00:00"/>
    <x v="1"/>
    <s v="East"/>
    <s v="Mobile"/>
    <s v="Paid Search"/>
    <s v="Free"/>
    <n v="1"/>
    <n v="1"/>
    <n v="0"/>
    <n v="0"/>
    <n v="0"/>
    <n v="0"/>
    <n v="0"/>
    <n v="0"/>
    <n v="41.5"/>
  </r>
  <r>
    <x v="1116"/>
    <d v="2025-01-26T00:00:00"/>
    <x v="1"/>
    <s v="West"/>
    <s v="Mobile"/>
    <s v="Organic"/>
    <s v="Basic"/>
    <n v="1"/>
    <n v="1"/>
    <n v="1"/>
    <n v="0"/>
    <n v="0"/>
    <n v="3"/>
    <n v="0"/>
    <n v="0"/>
    <n v="30.6"/>
  </r>
  <r>
    <x v="1117"/>
    <d v="2025-01-01T00:00:00"/>
    <x v="1"/>
    <s v="East"/>
    <s v="Mobile"/>
    <s v="Paid Search"/>
    <s v="Free"/>
    <n v="1"/>
    <n v="1"/>
    <n v="0"/>
    <n v="0"/>
    <n v="0"/>
    <n v="0"/>
    <n v="0"/>
    <n v="0"/>
    <n v="91.5"/>
  </r>
  <r>
    <x v="1118"/>
    <d v="2025-04-28T00:00:00"/>
    <x v="1"/>
    <s v="North"/>
    <s v="Desktop"/>
    <s v="Social"/>
    <s v="Basic"/>
    <n v="1"/>
    <n v="0"/>
    <n v="0"/>
    <n v="0"/>
    <n v="0"/>
    <n v="0"/>
    <n v="0"/>
    <n v="0"/>
    <n v="80.8"/>
  </r>
  <r>
    <x v="1119"/>
    <d v="2025-04-04T00:00:00"/>
    <x v="1"/>
    <s v="North"/>
    <s v="Mobile"/>
    <s v="Organic"/>
    <s v="Premium"/>
    <n v="1"/>
    <n v="0"/>
    <n v="0"/>
    <n v="0"/>
    <n v="0"/>
    <n v="0"/>
    <n v="0"/>
    <n v="0"/>
    <n v="68.099999999999994"/>
  </r>
  <r>
    <x v="1120"/>
    <d v="2025-03-02T00:00:00"/>
    <x v="1"/>
    <s v="East"/>
    <s v="Mobile"/>
    <s v="Paid Search"/>
    <s v="Free"/>
    <n v="1"/>
    <n v="0"/>
    <n v="0"/>
    <n v="0"/>
    <n v="0"/>
    <n v="0"/>
    <n v="0"/>
    <n v="0"/>
    <n v="80.3"/>
  </r>
  <r>
    <x v="1121"/>
    <d v="2025-03-19T00:00:00"/>
    <x v="1"/>
    <s v="South"/>
    <s v="Tablet"/>
    <s v="Organic"/>
    <s v="Basic"/>
    <n v="1"/>
    <n v="0"/>
    <n v="0"/>
    <n v="0"/>
    <n v="0"/>
    <n v="0"/>
    <n v="0"/>
    <n v="0"/>
    <n v="44.4"/>
  </r>
  <r>
    <x v="1122"/>
    <d v="2025-01-20T00:00:00"/>
    <x v="1"/>
    <s v="South"/>
    <s v="Desktop"/>
    <s v="Organic"/>
    <s v="Basic"/>
    <n v="0"/>
    <n v="0"/>
    <n v="0"/>
    <n v="0"/>
    <n v="0"/>
    <n v="0"/>
    <n v="0"/>
    <n v="0"/>
    <n v="51.9"/>
  </r>
  <r>
    <x v="1123"/>
    <d v="2025-04-03T00:00:00"/>
    <x v="1"/>
    <s v="East"/>
    <s v="Mobile"/>
    <s v="Paid Search"/>
    <s v="Free"/>
    <n v="1"/>
    <n v="1"/>
    <n v="0"/>
    <n v="0"/>
    <n v="0"/>
    <n v="0"/>
    <n v="0"/>
    <n v="0"/>
    <n v="49.8"/>
  </r>
  <r>
    <x v="1124"/>
    <d v="2025-01-11T00:00:00"/>
    <x v="1"/>
    <s v="East"/>
    <s v="Desktop"/>
    <s v="Social"/>
    <s v="Free"/>
    <n v="1"/>
    <n v="1"/>
    <n v="1"/>
    <n v="0"/>
    <n v="0"/>
    <n v="3"/>
    <n v="0"/>
    <n v="0"/>
    <n v="62.1"/>
  </r>
  <r>
    <x v="1125"/>
    <d v="2025-02-02T00:00:00"/>
    <x v="1"/>
    <s v="West"/>
    <s v="Desktop"/>
    <s v="Social"/>
    <s v="Basic"/>
    <n v="1"/>
    <n v="0"/>
    <n v="0"/>
    <n v="0"/>
    <n v="0"/>
    <n v="0"/>
    <n v="0"/>
    <n v="0"/>
    <n v="91.3"/>
  </r>
  <r>
    <x v="1126"/>
    <d v="2025-04-01T00:00:00"/>
    <x v="1"/>
    <s v="South"/>
    <s v="Mobile"/>
    <s v="Organic"/>
    <s v="Basic"/>
    <n v="1"/>
    <n v="0"/>
    <n v="0"/>
    <n v="0"/>
    <n v="0"/>
    <n v="0"/>
    <n v="0"/>
    <n v="0"/>
    <n v="66.400000000000006"/>
  </r>
  <r>
    <x v="1127"/>
    <d v="2025-05-22T00:00:00"/>
    <x v="1"/>
    <s v="East"/>
    <s v="Mobile"/>
    <s v="Organic"/>
    <s v="Basic"/>
    <n v="1"/>
    <n v="0"/>
    <n v="0"/>
    <n v="0"/>
    <n v="0"/>
    <n v="0"/>
    <n v="0"/>
    <n v="0"/>
    <n v="41.5"/>
  </r>
  <r>
    <x v="1128"/>
    <d v="2025-02-20T00:00:00"/>
    <x v="1"/>
    <s v="West"/>
    <s v="Mobile"/>
    <s v="Organic"/>
    <s v="Basic"/>
    <n v="0"/>
    <n v="0"/>
    <n v="0"/>
    <n v="0"/>
    <n v="0"/>
    <n v="0"/>
    <n v="0"/>
    <n v="0"/>
    <n v="77.099999999999994"/>
  </r>
  <r>
    <x v="1129"/>
    <d v="2025-03-21T00:00:00"/>
    <x v="1"/>
    <s v="West"/>
    <s v="Mobile"/>
    <s v="Organic"/>
    <s v="Free"/>
    <n v="1"/>
    <n v="0"/>
    <n v="0"/>
    <n v="0"/>
    <n v="0"/>
    <n v="0"/>
    <n v="0"/>
    <n v="0"/>
    <n v="63.2"/>
  </r>
  <r>
    <x v="1130"/>
    <d v="2025-05-01T00:00:00"/>
    <x v="1"/>
    <s v="West"/>
    <s v="Desktop"/>
    <s v="Referral"/>
    <s v="Free"/>
    <n v="1"/>
    <n v="1"/>
    <n v="1"/>
    <n v="0"/>
    <n v="0"/>
    <n v="3"/>
    <n v="0"/>
    <n v="0"/>
    <n v="75.7"/>
  </r>
  <r>
    <x v="1131"/>
    <d v="2025-01-06T00:00:00"/>
    <x v="1"/>
    <s v="West"/>
    <s v="Mobile"/>
    <s v="Paid Search"/>
    <s v="Basic"/>
    <n v="0"/>
    <n v="0"/>
    <n v="0"/>
    <n v="0"/>
    <n v="0"/>
    <n v="0"/>
    <n v="0"/>
    <n v="0"/>
    <n v="62.9"/>
  </r>
  <r>
    <x v="1132"/>
    <d v="2025-04-12T00:00:00"/>
    <x v="1"/>
    <s v="North"/>
    <s v="Desktop"/>
    <s v="Paid Search"/>
    <s v="Premium"/>
    <n v="1"/>
    <n v="0"/>
    <n v="0"/>
    <n v="0"/>
    <n v="0"/>
    <n v="3"/>
    <n v="0"/>
    <n v="0"/>
    <n v="64.599999999999994"/>
  </r>
  <r>
    <x v="1133"/>
    <d v="2025-04-18T00:00:00"/>
    <x v="1"/>
    <s v="North"/>
    <s v="Mobile"/>
    <s v="Unknown"/>
    <s v="Basic"/>
    <n v="1"/>
    <n v="0"/>
    <n v="0"/>
    <n v="0"/>
    <n v="0"/>
    <n v="0"/>
    <n v="0"/>
    <n v="0"/>
    <n v="76.599999999999994"/>
  </r>
  <r>
    <x v="1134"/>
    <d v="2025-03-24T00:00:00"/>
    <x v="1"/>
    <s v="East"/>
    <s v="Mobile"/>
    <s v="Social"/>
    <s v="Basic"/>
    <n v="1"/>
    <n v="0"/>
    <n v="0"/>
    <n v="0"/>
    <n v="0"/>
    <n v="0"/>
    <n v="0"/>
    <n v="0"/>
    <n v="74.8"/>
  </r>
  <r>
    <x v="1135"/>
    <d v="2025-03-18T00:00:00"/>
    <x v="1"/>
    <s v="East"/>
    <s v="Desktop"/>
    <s v="Email"/>
    <s v="Premium"/>
    <n v="1"/>
    <n v="0"/>
    <n v="0"/>
    <n v="0"/>
    <n v="0"/>
    <n v="2"/>
    <n v="0"/>
    <n v="0"/>
    <n v="38.1"/>
  </r>
  <r>
    <x v="1136"/>
    <d v="2025-04-30T00:00:00"/>
    <x v="1"/>
    <s v="South"/>
    <s v="Tablet"/>
    <s v="Paid Search"/>
    <s v="Basic"/>
    <n v="1"/>
    <n v="1"/>
    <n v="0"/>
    <n v="0"/>
    <n v="0"/>
    <n v="0"/>
    <n v="0"/>
    <n v="0"/>
    <n v="60.2"/>
  </r>
  <r>
    <x v="1137"/>
    <d v="2025-01-25T00:00:00"/>
    <x v="1"/>
    <s v="West"/>
    <s v="Mobile"/>
    <s v="Email"/>
    <s v="Free"/>
    <n v="1"/>
    <n v="1"/>
    <n v="0"/>
    <n v="0"/>
    <n v="0"/>
    <n v="0"/>
    <n v="0"/>
    <n v="0"/>
    <n v="73.5"/>
  </r>
  <r>
    <x v="1138"/>
    <d v="2025-04-10T00:00:00"/>
    <x v="1"/>
    <s v="South"/>
    <s v="Mobile"/>
    <s v="Organic"/>
    <s v="Free"/>
    <n v="1"/>
    <n v="0"/>
    <n v="0"/>
    <n v="0"/>
    <n v="0"/>
    <n v="0"/>
    <n v="0"/>
    <n v="0"/>
    <n v="70.900000000000006"/>
  </r>
  <r>
    <x v="1139"/>
    <d v="2025-01-10T00:00:00"/>
    <x v="1"/>
    <s v="West"/>
    <s v="Mobile"/>
    <s v="Social"/>
    <s v="Free"/>
    <n v="1"/>
    <n v="0"/>
    <n v="0"/>
    <n v="0"/>
    <n v="0"/>
    <n v="0"/>
    <n v="0"/>
    <n v="0"/>
    <n v="63.7"/>
  </r>
  <r>
    <x v="1140"/>
    <d v="2025-02-11T00:00:00"/>
    <x v="1"/>
    <s v="South"/>
    <s v="Mobile"/>
    <s v="Paid Search"/>
    <s v="Free"/>
    <n v="1"/>
    <n v="0"/>
    <n v="0"/>
    <n v="0"/>
    <n v="0"/>
    <n v="0"/>
    <n v="0"/>
    <n v="0"/>
    <n v="86.5"/>
  </r>
  <r>
    <x v="1141"/>
    <d v="2025-05-01T00:00:00"/>
    <x v="1"/>
    <s v="East"/>
    <s v="Mobile"/>
    <s v="Social"/>
    <s v="Basic"/>
    <n v="1"/>
    <n v="1"/>
    <n v="1"/>
    <n v="1"/>
    <n v="921.72"/>
    <n v="3"/>
    <n v="0"/>
    <n v="7"/>
    <n v="74.599999999999994"/>
  </r>
  <r>
    <x v="1142"/>
    <d v="2025-01-18T00:00:00"/>
    <x v="1"/>
    <s v="East"/>
    <s v="Mobile"/>
    <s v="Organic"/>
    <s v="Free"/>
    <n v="1"/>
    <n v="0"/>
    <n v="0"/>
    <n v="0"/>
    <n v="0"/>
    <n v="0"/>
    <n v="0"/>
    <n v="0"/>
    <n v="46.6"/>
  </r>
  <r>
    <x v="1143"/>
    <d v="2025-01-02T00:00:00"/>
    <x v="1"/>
    <s v="North"/>
    <s v="Mobile"/>
    <s v="Paid Search"/>
    <s v="Free"/>
    <n v="0"/>
    <n v="0"/>
    <n v="0"/>
    <n v="0"/>
    <n v="0"/>
    <n v="0"/>
    <n v="0"/>
    <n v="0"/>
    <n v="61.2"/>
  </r>
  <r>
    <x v="1144"/>
    <d v="2025-05-11T00:00:00"/>
    <x v="1"/>
    <s v="West"/>
    <s v="Mobile"/>
    <s v="Organic"/>
    <s v="Free"/>
    <n v="1"/>
    <n v="1"/>
    <n v="1"/>
    <n v="1"/>
    <n v="290.39"/>
    <n v="0"/>
    <n v="0"/>
    <n v="4"/>
    <n v="54.4"/>
  </r>
  <r>
    <x v="1145"/>
    <d v="2025-03-22T00:00:00"/>
    <x v="1"/>
    <s v="North"/>
    <s v="Mobile"/>
    <s v="Referral"/>
    <s v="Free"/>
    <n v="1"/>
    <n v="1"/>
    <n v="1"/>
    <n v="0"/>
    <n v="0"/>
    <n v="0"/>
    <n v="0"/>
    <n v="0"/>
    <n v="72"/>
  </r>
  <r>
    <x v="1146"/>
    <d v="2025-05-02T00:00:00"/>
    <x v="1"/>
    <s v="South"/>
    <s v="Mobile"/>
    <s v="Social"/>
    <s v="Premium"/>
    <n v="1"/>
    <n v="1"/>
    <n v="1"/>
    <n v="1"/>
    <n v="1858.85"/>
    <n v="0"/>
    <n v="0"/>
    <n v="8"/>
    <n v="88.6"/>
  </r>
  <r>
    <x v="1147"/>
    <d v="2025-05-26T00:00:00"/>
    <x v="1"/>
    <s v="East"/>
    <s v="Desktop"/>
    <s v="Unknown"/>
    <s v="Basic"/>
    <n v="1"/>
    <n v="0"/>
    <n v="0"/>
    <n v="0"/>
    <n v="0"/>
    <n v="0"/>
    <n v="0"/>
    <n v="0"/>
    <n v="77.599999999999994"/>
  </r>
  <r>
    <x v="1148"/>
    <d v="2025-03-13T00:00:00"/>
    <x v="1"/>
    <s v="South"/>
    <s v="Mobile"/>
    <s v="Organic"/>
    <s v="Basic"/>
    <n v="1"/>
    <n v="0"/>
    <n v="0"/>
    <n v="0"/>
    <n v="0"/>
    <n v="1"/>
    <n v="0"/>
    <n v="0"/>
    <n v="44.3"/>
  </r>
  <r>
    <x v="1149"/>
    <d v="2025-05-17T00:00:00"/>
    <x v="1"/>
    <s v="South"/>
    <s v="Desktop"/>
    <s v="Paid Search"/>
    <s v="Free"/>
    <n v="1"/>
    <n v="1"/>
    <n v="0"/>
    <n v="0"/>
    <n v="0"/>
    <n v="0"/>
    <n v="0"/>
    <n v="0"/>
    <n v="49"/>
  </r>
  <r>
    <x v="1150"/>
    <d v="2025-03-13T00:00:00"/>
    <x v="1"/>
    <s v="North"/>
    <s v="Desktop"/>
    <s v="Referral"/>
    <s v="Premium"/>
    <n v="1"/>
    <n v="0"/>
    <n v="0"/>
    <n v="0"/>
    <n v="0"/>
    <n v="0"/>
    <n v="0"/>
    <n v="0"/>
    <n v="53.9"/>
  </r>
  <r>
    <x v="1151"/>
    <d v="2025-02-11T00:00:00"/>
    <x v="1"/>
    <s v="East"/>
    <s v="Desktop"/>
    <s v="Organic"/>
    <s v="Basic"/>
    <n v="1"/>
    <n v="0"/>
    <n v="0"/>
    <n v="0"/>
    <n v="0"/>
    <n v="1"/>
    <n v="0"/>
    <n v="0"/>
    <n v="69"/>
  </r>
  <r>
    <x v="1152"/>
    <d v="2025-03-01T00:00:00"/>
    <x v="1"/>
    <s v="West"/>
    <s v="Mobile"/>
    <s v="Social"/>
    <s v="Free"/>
    <n v="0"/>
    <n v="0"/>
    <n v="0"/>
    <n v="0"/>
    <n v="0"/>
    <n v="0"/>
    <n v="0"/>
    <n v="0"/>
    <n v="37.4"/>
  </r>
  <r>
    <x v="1153"/>
    <d v="2025-04-15T00:00:00"/>
    <x v="1"/>
    <s v="West"/>
    <s v="Mobile"/>
    <s v="Organic"/>
    <s v="Basic"/>
    <n v="0"/>
    <n v="0"/>
    <n v="0"/>
    <n v="0"/>
    <n v="0"/>
    <n v="0"/>
    <n v="0"/>
    <n v="0"/>
    <n v="59"/>
  </r>
  <r>
    <x v="1154"/>
    <d v="2025-02-02T00:00:00"/>
    <x v="1"/>
    <s v="East"/>
    <s v="Mobile"/>
    <s v="Organic"/>
    <s v="Premium"/>
    <n v="1"/>
    <n v="0"/>
    <n v="0"/>
    <n v="0"/>
    <n v="0"/>
    <n v="0"/>
    <n v="0"/>
    <n v="0"/>
    <n v="60.8"/>
  </r>
  <r>
    <x v="1155"/>
    <d v="2025-05-19T00:00:00"/>
    <x v="1"/>
    <s v="South"/>
    <s v="Mobile"/>
    <s v="Email"/>
    <s v="Free"/>
    <n v="1"/>
    <n v="0"/>
    <n v="0"/>
    <n v="0"/>
    <n v="0"/>
    <n v="0"/>
    <n v="0"/>
    <n v="0"/>
    <n v="57.5"/>
  </r>
  <r>
    <x v="1156"/>
    <d v="2025-01-05T00:00:00"/>
    <x v="1"/>
    <s v="West"/>
    <s v="Mobile"/>
    <s v="Referral"/>
    <s v="Free"/>
    <n v="0"/>
    <n v="0"/>
    <n v="0"/>
    <n v="0"/>
    <n v="0"/>
    <n v="0"/>
    <n v="0"/>
    <n v="0"/>
    <n v="84.2"/>
  </r>
  <r>
    <x v="1157"/>
    <d v="2025-03-08T00:00:00"/>
    <x v="1"/>
    <s v="South"/>
    <s v="Mobile"/>
    <s v="Paid Search"/>
    <s v="Free"/>
    <n v="1"/>
    <n v="1"/>
    <n v="0"/>
    <n v="0"/>
    <n v="0"/>
    <n v="0"/>
    <n v="0"/>
    <n v="0"/>
    <n v="27.4"/>
  </r>
  <r>
    <x v="1158"/>
    <d v="2025-03-12T00:00:00"/>
    <x v="1"/>
    <s v="West"/>
    <s v="Mobile"/>
    <s v="Email"/>
    <s v="Basic"/>
    <n v="1"/>
    <n v="0"/>
    <n v="0"/>
    <n v="0"/>
    <n v="0"/>
    <n v="1"/>
    <n v="0"/>
    <n v="0"/>
    <n v="67.599999999999994"/>
  </r>
  <r>
    <x v="1159"/>
    <d v="2025-01-24T00:00:00"/>
    <x v="1"/>
    <s v="West"/>
    <s v="Mobile"/>
    <s v="Organic"/>
    <s v="Free"/>
    <n v="0"/>
    <n v="0"/>
    <n v="0"/>
    <n v="0"/>
    <n v="0"/>
    <n v="0"/>
    <n v="0"/>
    <n v="0"/>
    <n v="68.400000000000006"/>
  </r>
  <r>
    <x v="1160"/>
    <d v="2025-05-22T00:00:00"/>
    <x v="1"/>
    <s v="South"/>
    <s v="Mobile"/>
    <s v="Paid Search"/>
    <s v="Basic"/>
    <n v="1"/>
    <n v="1"/>
    <n v="1"/>
    <n v="0"/>
    <n v="0"/>
    <n v="0"/>
    <n v="0"/>
    <n v="0"/>
    <n v="66.5"/>
  </r>
  <r>
    <x v="1161"/>
    <d v="2025-03-27T00:00:00"/>
    <x v="1"/>
    <s v="South"/>
    <s v="Mobile"/>
    <s v="Paid Search"/>
    <s v="Free"/>
    <n v="1"/>
    <n v="0"/>
    <n v="0"/>
    <n v="0"/>
    <n v="0"/>
    <n v="0"/>
    <n v="0"/>
    <n v="0"/>
    <n v="38.200000000000003"/>
  </r>
  <r>
    <x v="1162"/>
    <d v="2025-01-02T00:00:00"/>
    <x v="1"/>
    <s v="West"/>
    <s v="Mobile"/>
    <s v="Social"/>
    <s v="Free"/>
    <n v="0"/>
    <n v="0"/>
    <n v="0"/>
    <n v="0"/>
    <n v="0"/>
    <n v="1"/>
    <n v="0"/>
    <n v="0"/>
    <n v="66.7"/>
  </r>
  <r>
    <x v="1163"/>
    <d v="2025-02-24T00:00:00"/>
    <x v="1"/>
    <s v="North"/>
    <s v="Mobile"/>
    <s v="Paid Search"/>
    <s v="Free"/>
    <n v="0"/>
    <n v="0"/>
    <n v="0"/>
    <n v="0"/>
    <n v="0"/>
    <n v="1"/>
    <n v="0"/>
    <n v="0"/>
    <n v="73.7"/>
  </r>
  <r>
    <x v="1164"/>
    <d v="2025-03-01T00:00:00"/>
    <x v="1"/>
    <s v="West"/>
    <s v="Desktop"/>
    <s v="Organic"/>
    <s v="Basic"/>
    <n v="1"/>
    <n v="1"/>
    <n v="1"/>
    <n v="0"/>
    <n v="0"/>
    <n v="0"/>
    <n v="0"/>
    <n v="0"/>
    <n v="63.9"/>
  </r>
  <r>
    <x v="1165"/>
    <d v="2025-03-26T00:00:00"/>
    <x v="1"/>
    <s v="South"/>
    <s v="Tablet"/>
    <s v="Organic"/>
    <s v="Basic"/>
    <n v="1"/>
    <n v="0"/>
    <n v="0"/>
    <n v="0"/>
    <n v="0"/>
    <n v="1"/>
    <n v="0"/>
    <n v="0"/>
    <n v="82.6"/>
  </r>
  <r>
    <x v="1166"/>
    <d v="2025-05-25T00:00:00"/>
    <x v="1"/>
    <s v="East"/>
    <s v="Mobile"/>
    <s v="Paid Search"/>
    <s v="Free"/>
    <n v="0"/>
    <n v="0"/>
    <n v="0"/>
    <n v="0"/>
    <n v="0"/>
    <n v="1"/>
    <n v="0"/>
    <n v="0"/>
    <n v="58.3"/>
  </r>
  <r>
    <x v="1167"/>
    <d v="2025-02-25T00:00:00"/>
    <x v="1"/>
    <s v="West"/>
    <s v="Mobile"/>
    <s v="Referral"/>
    <s v="Premium"/>
    <n v="1"/>
    <n v="1"/>
    <n v="1"/>
    <n v="1"/>
    <n v="1547.06"/>
    <n v="0"/>
    <n v="1"/>
    <n v="2"/>
    <n v="72.900000000000006"/>
  </r>
  <r>
    <x v="1168"/>
    <d v="2025-03-23T00:00:00"/>
    <x v="1"/>
    <s v="South"/>
    <s v="Mobile"/>
    <s v="Social"/>
    <s v="Free"/>
    <n v="1"/>
    <n v="1"/>
    <n v="1"/>
    <n v="0"/>
    <n v="0"/>
    <n v="2"/>
    <n v="0"/>
    <n v="0"/>
    <n v="53.5"/>
  </r>
  <r>
    <x v="1169"/>
    <d v="2025-04-21T00:00:00"/>
    <x v="1"/>
    <s v="West"/>
    <s v="Mobile"/>
    <s v="Referral"/>
    <s v="Free"/>
    <n v="1"/>
    <n v="0"/>
    <n v="0"/>
    <n v="0"/>
    <n v="0"/>
    <n v="0"/>
    <n v="0"/>
    <n v="0"/>
    <n v="54.8"/>
  </r>
  <r>
    <x v="1170"/>
    <d v="2025-05-21T00:00:00"/>
    <x v="1"/>
    <s v="North"/>
    <s v="Mobile"/>
    <s v="Organic"/>
    <s v="Premium"/>
    <n v="1"/>
    <n v="0"/>
    <n v="0"/>
    <n v="0"/>
    <n v="0"/>
    <n v="0"/>
    <n v="0"/>
    <n v="0"/>
    <n v="69.5"/>
  </r>
  <r>
    <x v="1171"/>
    <d v="2025-04-25T00:00:00"/>
    <x v="1"/>
    <s v="North"/>
    <s v="Desktop"/>
    <s v="Social"/>
    <s v="Free"/>
    <n v="1"/>
    <n v="0"/>
    <n v="0"/>
    <n v="0"/>
    <n v="0"/>
    <n v="1"/>
    <n v="0"/>
    <n v="0"/>
    <n v="71.3"/>
  </r>
  <r>
    <x v="1172"/>
    <d v="2025-05-23T00:00:00"/>
    <x v="1"/>
    <s v="West"/>
    <s v="Mobile"/>
    <s v="Referral"/>
    <s v="Basic"/>
    <n v="1"/>
    <n v="0"/>
    <n v="0"/>
    <n v="0"/>
    <n v="0"/>
    <n v="1"/>
    <n v="0"/>
    <n v="0"/>
    <n v="57.5"/>
  </r>
  <r>
    <x v="1173"/>
    <d v="2025-03-18T00:00:00"/>
    <x v="1"/>
    <s v="South"/>
    <s v="Mobile"/>
    <s v="Email"/>
    <s v="Free"/>
    <n v="1"/>
    <n v="0"/>
    <n v="0"/>
    <n v="0"/>
    <n v="0"/>
    <n v="4"/>
    <n v="0"/>
    <n v="0"/>
    <n v="50.9"/>
  </r>
  <r>
    <x v="1174"/>
    <d v="2025-01-03T00:00:00"/>
    <x v="1"/>
    <s v="South"/>
    <s v="Tablet"/>
    <s v="Organic"/>
    <s v="Free"/>
    <n v="1"/>
    <n v="1"/>
    <n v="1"/>
    <n v="0"/>
    <n v="0"/>
    <n v="0"/>
    <n v="0"/>
    <n v="0"/>
    <n v="69.3"/>
  </r>
  <r>
    <x v="1175"/>
    <d v="2025-02-08T00:00:00"/>
    <x v="1"/>
    <s v="West"/>
    <s v="Desktop"/>
    <s v="Organic"/>
    <s v="Free"/>
    <n v="1"/>
    <n v="0"/>
    <n v="0"/>
    <n v="0"/>
    <n v="0"/>
    <n v="0"/>
    <n v="0"/>
    <n v="0"/>
    <n v="50.1"/>
  </r>
  <r>
    <x v="1176"/>
    <d v="2025-02-04T00:00:00"/>
    <x v="1"/>
    <s v="East"/>
    <s v="Unknown"/>
    <s v="Paid Search"/>
    <s v="Basic"/>
    <n v="0"/>
    <n v="0"/>
    <n v="0"/>
    <n v="0"/>
    <n v="0"/>
    <n v="0"/>
    <n v="0"/>
    <n v="0"/>
    <n v="69.7"/>
  </r>
  <r>
    <x v="1177"/>
    <d v="2025-01-16T00:00:00"/>
    <x v="1"/>
    <s v="North"/>
    <s v="Mobile"/>
    <s v="Paid Search"/>
    <s v="Free"/>
    <n v="0"/>
    <n v="0"/>
    <n v="0"/>
    <n v="0"/>
    <n v="0"/>
    <n v="0"/>
    <n v="0"/>
    <n v="0"/>
    <n v="63.5"/>
  </r>
  <r>
    <x v="1178"/>
    <d v="2025-04-04T00:00:00"/>
    <x v="1"/>
    <s v="West"/>
    <s v="Desktop"/>
    <s v="Paid Search"/>
    <s v="Free"/>
    <n v="1"/>
    <n v="1"/>
    <n v="1"/>
    <n v="1"/>
    <n v="265.58999999999997"/>
    <n v="1"/>
    <n v="0"/>
    <n v="8"/>
    <n v="80.400000000000006"/>
  </r>
  <r>
    <x v="1179"/>
    <d v="2025-01-23T00:00:00"/>
    <x v="1"/>
    <s v="North"/>
    <s v="Desktop"/>
    <s v="Paid Search"/>
    <s v="Free"/>
    <n v="0"/>
    <n v="0"/>
    <n v="0"/>
    <n v="0"/>
    <n v="0"/>
    <n v="0"/>
    <n v="0"/>
    <n v="0"/>
    <n v="58.9"/>
  </r>
  <r>
    <x v="1180"/>
    <d v="2025-03-22T00:00:00"/>
    <x v="1"/>
    <s v="South"/>
    <s v="Desktop"/>
    <s v="Paid Search"/>
    <s v="Free"/>
    <n v="1"/>
    <n v="0"/>
    <n v="0"/>
    <n v="0"/>
    <n v="0"/>
    <n v="0"/>
    <n v="0"/>
    <n v="0"/>
    <n v="56.8"/>
  </r>
  <r>
    <x v="1181"/>
    <d v="2025-02-02T00:00:00"/>
    <x v="1"/>
    <s v="East"/>
    <s v="Tablet"/>
    <s v="Social"/>
    <s v="Premium"/>
    <n v="0"/>
    <n v="0"/>
    <n v="0"/>
    <n v="0"/>
    <n v="0"/>
    <n v="0"/>
    <n v="0"/>
    <n v="0"/>
    <n v="73.900000000000006"/>
  </r>
  <r>
    <x v="1182"/>
    <d v="2025-01-31T00:00:00"/>
    <x v="1"/>
    <s v="North"/>
    <s v="Desktop"/>
    <s v="Paid Search"/>
    <s v="Free"/>
    <n v="0"/>
    <n v="0"/>
    <n v="0"/>
    <n v="0"/>
    <n v="0"/>
    <n v="0"/>
    <n v="0"/>
    <n v="0"/>
    <n v="76.3"/>
  </r>
  <r>
    <x v="1183"/>
    <d v="2025-05-27T00:00:00"/>
    <x v="1"/>
    <s v="West"/>
    <s v="Mobile"/>
    <s v="Organic"/>
    <s v="Basic"/>
    <n v="1"/>
    <n v="0"/>
    <n v="0"/>
    <n v="0"/>
    <n v="0"/>
    <n v="0"/>
    <n v="0"/>
    <n v="0"/>
    <n v="56.9"/>
  </r>
  <r>
    <x v="1184"/>
    <d v="2025-05-07T00:00:00"/>
    <x v="1"/>
    <s v="North"/>
    <s v="Mobile"/>
    <s v="Organic"/>
    <s v="Premium"/>
    <n v="1"/>
    <n v="0"/>
    <n v="0"/>
    <n v="0"/>
    <n v="0"/>
    <n v="2"/>
    <n v="0"/>
    <n v="0"/>
    <n v="49.4"/>
  </r>
  <r>
    <x v="1185"/>
    <d v="2025-05-08T00:00:00"/>
    <x v="1"/>
    <s v="North"/>
    <s v="Desktop"/>
    <s v="Paid Search"/>
    <s v="Basic"/>
    <n v="1"/>
    <n v="0"/>
    <n v="0"/>
    <n v="0"/>
    <n v="0"/>
    <n v="0"/>
    <n v="0"/>
    <n v="0"/>
    <n v="86.7"/>
  </r>
  <r>
    <x v="1186"/>
    <d v="2025-01-15T00:00:00"/>
    <x v="1"/>
    <s v="West"/>
    <s v="Desktop"/>
    <s v="Email"/>
    <s v="Free"/>
    <n v="1"/>
    <n v="0"/>
    <n v="0"/>
    <n v="0"/>
    <n v="0"/>
    <n v="3"/>
    <n v="0"/>
    <n v="0"/>
    <n v="69"/>
  </r>
  <r>
    <x v="1187"/>
    <d v="2025-01-18T00:00:00"/>
    <x v="1"/>
    <s v="North"/>
    <s v="Mobile"/>
    <s v="Paid Search"/>
    <s v="Free"/>
    <n v="0"/>
    <n v="0"/>
    <n v="0"/>
    <n v="0"/>
    <n v="0"/>
    <n v="0"/>
    <n v="0"/>
    <n v="0"/>
    <n v="84.5"/>
  </r>
  <r>
    <x v="1188"/>
    <d v="2025-04-16T00:00:00"/>
    <x v="1"/>
    <s v="East"/>
    <s v="Unknown"/>
    <s v="Referral"/>
    <s v="Free"/>
    <n v="1"/>
    <n v="0"/>
    <n v="0"/>
    <n v="0"/>
    <n v="0"/>
    <n v="0"/>
    <n v="0"/>
    <n v="0"/>
    <n v="66.3"/>
  </r>
  <r>
    <x v="1189"/>
    <d v="2025-02-16T00:00:00"/>
    <x v="1"/>
    <s v="East"/>
    <s v="Desktop"/>
    <s v="Paid Search"/>
    <s v="Free"/>
    <n v="0"/>
    <n v="0"/>
    <n v="0"/>
    <n v="0"/>
    <n v="0"/>
    <n v="0"/>
    <n v="0"/>
    <n v="0"/>
    <n v="52.2"/>
  </r>
  <r>
    <x v="1190"/>
    <d v="2025-04-17T00:00:00"/>
    <x v="1"/>
    <s v="South"/>
    <s v="Desktop"/>
    <s v="Referral"/>
    <s v="Premium"/>
    <n v="1"/>
    <n v="1"/>
    <n v="1"/>
    <n v="0"/>
    <n v="0"/>
    <n v="0"/>
    <n v="0"/>
    <n v="0"/>
    <n v="81.2"/>
  </r>
  <r>
    <x v="1191"/>
    <d v="2025-04-30T00:00:00"/>
    <x v="1"/>
    <s v="South"/>
    <s v="Mobile"/>
    <s v="Organic"/>
    <s v="Basic"/>
    <n v="0"/>
    <n v="0"/>
    <n v="0"/>
    <n v="0"/>
    <n v="0"/>
    <n v="0"/>
    <n v="0"/>
    <n v="0"/>
    <n v="53.9"/>
  </r>
  <r>
    <x v="1192"/>
    <d v="2025-01-29T00:00:00"/>
    <x v="1"/>
    <s v="West"/>
    <s v="Mobile"/>
    <s v="Social"/>
    <s v="Premium"/>
    <n v="0"/>
    <n v="0"/>
    <n v="0"/>
    <n v="0"/>
    <n v="0"/>
    <n v="0"/>
    <n v="0"/>
    <n v="0"/>
    <n v="39.1"/>
  </r>
  <r>
    <x v="1193"/>
    <d v="2025-01-11T00:00:00"/>
    <x v="1"/>
    <s v="North"/>
    <s v="Mobile"/>
    <s v="Social"/>
    <s v="Basic"/>
    <n v="0"/>
    <n v="0"/>
    <n v="0"/>
    <n v="0"/>
    <n v="0"/>
    <n v="0"/>
    <n v="0"/>
    <n v="0"/>
    <n v="57.3"/>
  </r>
  <r>
    <x v="1194"/>
    <d v="2025-04-08T00:00:00"/>
    <x v="1"/>
    <s v="East"/>
    <s v="Desktop"/>
    <s v="Paid Search"/>
    <s v="Premium"/>
    <n v="1"/>
    <n v="0"/>
    <n v="0"/>
    <n v="0"/>
    <n v="0"/>
    <n v="1"/>
    <n v="0"/>
    <n v="0"/>
    <n v="65.900000000000006"/>
  </r>
  <r>
    <x v="1195"/>
    <d v="2025-02-22T00:00:00"/>
    <x v="1"/>
    <s v="North"/>
    <s v="Unknown"/>
    <s v="Social"/>
    <s v="Free"/>
    <n v="1"/>
    <n v="0"/>
    <n v="0"/>
    <n v="0"/>
    <n v="0"/>
    <n v="1"/>
    <n v="0"/>
    <n v="0"/>
    <n v="34.200000000000003"/>
  </r>
  <r>
    <x v="1196"/>
    <d v="2025-03-23T00:00:00"/>
    <x v="1"/>
    <s v="South"/>
    <s v="Mobile"/>
    <s v="Organic"/>
    <s v="Free"/>
    <n v="0"/>
    <n v="0"/>
    <n v="0"/>
    <n v="0"/>
    <n v="0"/>
    <n v="0"/>
    <n v="0"/>
    <n v="0"/>
    <n v="47.2"/>
  </r>
  <r>
    <x v="1197"/>
    <d v="2025-05-23T00:00:00"/>
    <x v="1"/>
    <s v="South"/>
    <s v="Tablet"/>
    <s v="Paid Search"/>
    <s v="Free"/>
    <n v="1"/>
    <n v="0"/>
    <n v="0"/>
    <n v="0"/>
    <n v="0"/>
    <n v="1"/>
    <n v="0"/>
    <n v="0"/>
    <n v="55"/>
  </r>
  <r>
    <x v="1198"/>
    <d v="2025-04-27T00:00:00"/>
    <x v="1"/>
    <s v="West"/>
    <s v="Mobile"/>
    <s v="Referral"/>
    <s v="Basic"/>
    <n v="1"/>
    <n v="1"/>
    <n v="1"/>
    <n v="0"/>
    <n v="0"/>
    <n v="0"/>
    <n v="0"/>
    <n v="0"/>
    <n v="76.400000000000006"/>
  </r>
  <r>
    <x v="1199"/>
    <d v="2025-05-26T00:00:00"/>
    <x v="1"/>
    <s v="North"/>
    <s v="Mobile"/>
    <s v="Referral"/>
    <s v="Free"/>
    <n v="1"/>
    <n v="0"/>
    <n v="0"/>
    <n v="0"/>
    <n v="0"/>
    <n v="0"/>
    <n v="0"/>
    <n v="0"/>
    <n v="70.8"/>
  </r>
  <r>
    <x v="1200"/>
    <d v="2025-03-06T00:00:00"/>
    <x v="1"/>
    <s v="East"/>
    <s v="Mobile"/>
    <s v="Paid Search"/>
    <s v="Basic"/>
    <n v="1"/>
    <n v="1"/>
    <n v="0"/>
    <n v="0"/>
    <n v="0"/>
    <n v="1"/>
    <n v="0"/>
    <n v="0"/>
    <n v="58"/>
  </r>
  <r>
    <x v="1201"/>
    <d v="2025-04-03T00:00:00"/>
    <x v="1"/>
    <s v="West"/>
    <s v="Mobile"/>
    <s v="Organic"/>
    <s v="Basic"/>
    <n v="1"/>
    <n v="1"/>
    <n v="1"/>
    <n v="0"/>
    <n v="0"/>
    <n v="1"/>
    <n v="0"/>
    <n v="0"/>
    <n v="70.8"/>
  </r>
  <r>
    <x v="1202"/>
    <d v="2025-02-01T00:00:00"/>
    <x v="1"/>
    <s v="East"/>
    <s v="Desktop"/>
    <s v="Paid Search"/>
    <s v="Free"/>
    <n v="1"/>
    <n v="0"/>
    <n v="0"/>
    <n v="0"/>
    <n v="0"/>
    <n v="3"/>
    <n v="0"/>
    <n v="0"/>
    <n v="60"/>
  </r>
  <r>
    <x v="1203"/>
    <d v="2025-05-01T00:00:00"/>
    <x v="1"/>
    <s v="West"/>
    <s v="Mobile"/>
    <s v="Referral"/>
    <s v="Premium"/>
    <n v="1"/>
    <n v="1"/>
    <n v="1"/>
    <n v="0"/>
    <n v="0"/>
    <n v="3"/>
    <n v="0"/>
    <n v="0"/>
    <n v="58.1"/>
  </r>
  <r>
    <x v="1204"/>
    <d v="2025-04-13T00:00:00"/>
    <x v="1"/>
    <s v="North"/>
    <s v="Mobile"/>
    <s v="Social"/>
    <s v="Premium"/>
    <n v="0"/>
    <n v="0"/>
    <n v="0"/>
    <n v="0"/>
    <n v="0"/>
    <n v="0"/>
    <n v="0"/>
    <n v="0"/>
    <n v="59.7"/>
  </r>
  <r>
    <x v="1205"/>
    <d v="2025-01-25T00:00:00"/>
    <x v="1"/>
    <s v="East"/>
    <s v="Mobile"/>
    <s v="Social"/>
    <s v="Free"/>
    <n v="0"/>
    <n v="0"/>
    <n v="0"/>
    <n v="0"/>
    <n v="0"/>
    <n v="0"/>
    <n v="0"/>
    <n v="0"/>
    <n v="47.7"/>
  </r>
  <r>
    <x v="1206"/>
    <d v="2025-03-17T00:00:00"/>
    <x v="1"/>
    <s v="North"/>
    <s v="Mobile"/>
    <s v="Organic"/>
    <s v="Free"/>
    <n v="0"/>
    <n v="0"/>
    <n v="0"/>
    <n v="0"/>
    <n v="0"/>
    <n v="0"/>
    <n v="0"/>
    <n v="0"/>
    <n v="59.1"/>
  </r>
  <r>
    <x v="1207"/>
    <d v="2025-02-21T00:00:00"/>
    <x v="1"/>
    <s v="West"/>
    <s v="Desktop"/>
    <s v="Social"/>
    <s v="Basic"/>
    <n v="1"/>
    <n v="0"/>
    <n v="0"/>
    <n v="0"/>
    <n v="0"/>
    <n v="1"/>
    <n v="0"/>
    <n v="0"/>
    <n v="68.7"/>
  </r>
  <r>
    <x v="1208"/>
    <d v="2025-04-08T00:00:00"/>
    <x v="1"/>
    <s v="East"/>
    <s v="Tablet"/>
    <s v="Organic"/>
    <s v="Basic"/>
    <n v="0"/>
    <n v="0"/>
    <n v="0"/>
    <n v="0"/>
    <n v="0"/>
    <n v="0"/>
    <n v="0"/>
    <n v="0"/>
    <n v="34.700000000000003"/>
  </r>
  <r>
    <x v="1209"/>
    <d v="2025-02-24T00:00:00"/>
    <x v="1"/>
    <s v="West"/>
    <s v="Mobile"/>
    <s v="Organic"/>
    <s v="Basic"/>
    <n v="1"/>
    <n v="0"/>
    <n v="0"/>
    <n v="0"/>
    <n v="0"/>
    <n v="0"/>
    <n v="0"/>
    <n v="0"/>
    <n v="62"/>
  </r>
  <r>
    <x v="1210"/>
    <d v="2025-05-29T00:00:00"/>
    <x v="1"/>
    <s v="South"/>
    <s v="Mobile"/>
    <s v="Organic"/>
    <s v="Free"/>
    <n v="1"/>
    <n v="1"/>
    <n v="0"/>
    <n v="0"/>
    <n v="0"/>
    <n v="0"/>
    <n v="0"/>
    <n v="0"/>
    <n v="56"/>
  </r>
  <r>
    <x v="1211"/>
    <d v="2025-05-30T00:00:00"/>
    <x v="1"/>
    <s v="North"/>
    <s v="Mobile"/>
    <s v="Email"/>
    <s v="Basic"/>
    <n v="1"/>
    <n v="0"/>
    <n v="0"/>
    <n v="0"/>
    <n v="0"/>
    <n v="1"/>
    <n v="0"/>
    <n v="0"/>
    <n v="65.8"/>
  </r>
  <r>
    <x v="1212"/>
    <d v="2025-01-24T00:00:00"/>
    <x v="1"/>
    <s v="North"/>
    <s v="Desktop"/>
    <s v="Organic"/>
    <s v="Premium"/>
    <n v="0"/>
    <n v="0"/>
    <n v="0"/>
    <n v="0"/>
    <n v="0"/>
    <n v="0"/>
    <n v="0"/>
    <n v="0"/>
    <n v="54.7"/>
  </r>
  <r>
    <x v="1213"/>
    <d v="2025-05-12T00:00:00"/>
    <x v="1"/>
    <s v="South"/>
    <s v="Mobile"/>
    <s v="Organic"/>
    <s v="Basic"/>
    <n v="1"/>
    <n v="1"/>
    <n v="0"/>
    <n v="0"/>
    <n v="0"/>
    <n v="0"/>
    <n v="0"/>
    <n v="0"/>
    <n v="64.099999999999994"/>
  </r>
  <r>
    <x v="1214"/>
    <d v="2025-03-28T00:00:00"/>
    <x v="1"/>
    <s v="South"/>
    <s v="Mobile"/>
    <s v="Organic"/>
    <s v="Basic"/>
    <n v="1"/>
    <n v="1"/>
    <n v="1"/>
    <n v="0"/>
    <n v="0"/>
    <n v="0"/>
    <n v="0"/>
    <n v="0"/>
    <n v="71.599999999999994"/>
  </r>
  <r>
    <x v="1215"/>
    <d v="2025-04-14T00:00:00"/>
    <x v="1"/>
    <s v="North"/>
    <s v="Mobile"/>
    <s v="Referral"/>
    <s v="Basic"/>
    <n v="1"/>
    <n v="0"/>
    <n v="0"/>
    <n v="0"/>
    <n v="0"/>
    <n v="0"/>
    <n v="0"/>
    <n v="0"/>
    <n v="78.400000000000006"/>
  </r>
  <r>
    <x v="1216"/>
    <d v="2025-01-28T00:00:00"/>
    <x v="1"/>
    <s v="East"/>
    <s v="Tablet"/>
    <s v="Referral"/>
    <s v="Basic"/>
    <n v="0"/>
    <n v="0"/>
    <n v="0"/>
    <n v="0"/>
    <n v="0"/>
    <n v="0"/>
    <n v="0"/>
    <n v="0"/>
    <n v="49.3"/>
  </r>
  <r>
    <x v="1217"/>
    <d v="2025-05-21T00:00:00"/>
    <x v="1"/>
    <s v="North"/>
    <s v="Mobile"/>
    <s v="Organic"/>
    <s v="Basic"/>
    <n v="0"/>
    <n v="0"/>
    <n v="0"/>
    <n v="0"/>
    <n v="0"/>
    <n v="0"/>
    <n v="0"/>
    <n v="0"/>
    <n v="52.8"/>
  </r>
  <r>
    <x v="1218"/>
    <d v="2025-05-11T00:00:00"/>
    <x v="1"/>
    <s v="West"/>
    <s v="Desktop"/>
    <s v="Organic"/>
    <s v="Free"/>
    <n v="0"/>
    <n v="0"/>
    <n v="0"/>
    <n v="0"/>
    <n v="0"/>
    <n v="0"/>
    <n v="0"/>
    <n v="0"/>
    <n v="58.5"/>
  </r>
  <r>
    <x v="1219"/>
    <d v="2025-02-02T00:00:00"/>
    <x v="1"/>
    <s v="South"/>
    <s v="Mobile"/>
    <s v="Paid Search"/>
    <s v="Free"/>
    <n v="1"/>
    <n v="0"/>
    <n v="0"/>
    <n v="0"/>
    <n v="0"/>
    <n v="0"/>
    <n v="0"/>
    <n v="0"/>
    <n v="55.9"/>
  </r>
  <r>
    <x v="1220"/>
    <d v="2025-02-26T00:00:00"/>
    <x v="1"/>
    <s v="North"/>
    <s v="Mobile"/>
    <s v="Social"/>
    <s v="Free"/>
    <n v="1"/>
    <n v="1"/>
    <n v="1"/>
    <n v="1"/>
    <n v="351.43"/>
    <n v="1"/>
    <n v="0"/>
    <n v="6"/>
    <n v="74.900000000000006"/>
  </r>
  <r>
    <x v="1221"/>
    <d v="2025-02-27T00:00:00"/>
    <x v="1"/>
    <s v="South"/>
    <s v="Desktop"/>
    <s v="Referral"/>
    <s v="Free"/>
    <n v="1"/>
    <n v="1"/>
    <n v="1"/>
    <n v="1"/>
    <n v="352.42"/>
    <n v="0"/>
    <n v="0"/>
    <n v="4"/>
    <n v="58.5"/>
  </r>
  <r>
    <x v="1222"/>
    <d v="2025-03-09T00:00:00"/>
    <x v="1"/>
    <s v="West"/>
    <s v="Mobile"/>
    <s v="Organic"/>
    <s v="Free"/>
    <n v="0"/>
    <n v="0"/>
    <n v="0"/>
    <n v="0"/>
    <n v="0"/>
    <n v="0"/>
    <n v="0"/>
    <n v="0"/>
    <n v="63.5"/>
  </r>
  <r>
    <x v="1223"/>
    <d v="2025-02-07T00:00:00"/>
    <x v="1"/>
    <s v="North"/>
    <s v="Mobile"/>
    <s v="Paid Search"/>
    <s v="Basic"/>
    <n v="1"/>
    <n v="0"/>
    <n v="0"/>
    <n v="0"/>
    <n v="0"/>
    <n v="1"/>
    <n v="0"/>
    <n v="0"/>
    <n v="64.8"/>
  </r>
  <r>
    <x v="1224"/>
    <d v="2025-01-31T00:00:00"/>
    <x v="1"/>
    <s v="West"/>
    <s v="Mobile"/>
    <s v="Social"/>
    <s v="Free"/>
    <n v="0"/>
    <n v="0"/>
    <n v="0"/>
    <n v="0"/>
    <n v="0"/>
    <n v="0"/>
    <n v="0"/>
    <n v="0"/>
    <n v="63.3"/>
  </r>
  <r>
    <x v="1225"/>
    <d v="2025-02-14T00:00:00"/>
    <x v="1"/>
    <s v="North"/>
    <s v="Tablet"/>
    <s v="Paid Search"/>
    <s v="Basic"/>
    <n v="1"/>
    <n v="1"/>
    <n v="1"/>
    <n v="1"/>
    <n v="1074.1600000000001"/>
    <n v="0"/>
    <n v="0"/>
    <n v="8"/>
    <n v="83.7"/>
  </r>
  <r>
    <x v="1226"/>
    <d v="2025-02-12T00:00:00"/>
    <x v="1"/>
    <s v="South"/>
    <s v="Desktop"/>
    <s v="Social"/>
    <s v="Basic"/>
    <n v="0"/>
    <n v="0"/>
    <n v="0"/>
    <n v="0"/>
    <n v="0"/>
    <n v="0"/>
    <n v="0"/>
    <n v="0"/>
    <n v="88.7"/>
  </r>
  <r>
    <x v="1227"/>
    <d v="2025-03-23T00:00:00"/>
    <x v="1"/>
    <s v="East"/>
    <s v="Unknown"/>
    <s v="Paid Search"/>
    <s v="Free"/>
    <n v="1"/>
    <n v="0"/>
    <n v="0"/>
    <n v="0"/>
    <n v="0"/>
    <n v="1"/>
    <n v="0"/>
    <n v="0"/>
    <n v="61.5"/>
  </r>
  <r>
    <x v="1228"/>
    <d v="2025-03-18T00:00:00"/>
    <x v="1"/>
    <s v="West"/>
    <s v="Mobile"/>
    <s v="Paid Search"/>
    <s v="Free"/>
    <n v="0"/>
    <n v="0"/>
    <n v="0"/>
    <n v="0"/>
    <n v="0"/>
    <n v="0"/>
    <n v="0"/>
    <n v="0"/>
    <n v="45.3"/>
  </r>
  <r>
    <x v="1229"/>
    <d v="2025-05-17T00:00:00"/>
    <x v="1"/>
    <s v="North"/>
    <s v="Mobile"/>
    <s v="Social"/>
    <s v="Free"/>
    <n v="1"/>
    <n v="0"/>
    <n v="0"/>
    <n v="0"/>
    <n v="0"/>
    <n v="0"/>
    <n v="0"/>
    <n v="0"/>
    <n v="37.299999999999997"/>
  </r>
  <r>
    <x v="1230"/>
    <d v="2025-03-26T00:00:00"/>
    <x v="1"/>
    <s v="West"/>
    <s v="Desktop"/>
    <s v="Social"/>
    <s v="Premium"/>
    <n v="1"/>
    <n v="0"/>
    <n v="0"/>
    <n v="0"/>
    <n v="0"/>
    <n v="1"/>
    <n v="0"/>
    <n v="0"/>
    <n v="76.099999999999994"/>
  </r>
  <r>
    <x v="1231"/>
    <d v="2025-03-30T00:00:00"/>
    <x v="1"/>
    <s v="East"/>
    <s v="Mobile"/>
    <s v="Organic"/>
    <s v="Free"/>
    <n v="1"/>
    <n v="1"/>
    <n v="1"/>
    <n v="0"/>
    <n v="0"/>
    <n v="1"/>
    <n v="0"/>
    <n v="0"/>
    <n v="72.5"/>
  </r>
  <r>
    <x v="1232"/>
    <d v="2025-02-25T00:00:00"/>
    <x v="1"/>
    <s v="East"/>
    <s v="Desktop"/>
    <s v="Organic"/>
    <s v="Free"/>
    <n v="1"/>
    <n v="0"/>
    <n v="0"/>
    <n v="0"/>
    <n v="0"/>
    <n v="0"/>
    <n v="0"/>
    <n v="0"/>
    <n v="62.3"/>
  </r>
  <r>
    <x v="1233"/>
    <d v="2025-03-01T00:00:00"/>
    <x v="1"/>
    <s v="East"/>
    <s v="Desktop"/>
    <s v="Social"/>
    <s v="Free"/>
    <n v="0"/>
    <n v="0"/>
    <n v="0"/>
    <n v="0"/>
    <n v="0"/>
    <n v="0"/>
    <n v="0"/>
    <n v="0"/>
    <n v="62.7"/>
  </r>
  <r>
    <x v="1234"/>
    <d v="2025-05-27T00:00:00"/>
    <x v="1"/>
    <s v="North"/>
    <s v="Mobile"/>
    <s v="Paid Search"/>
    <s v="Basic"/>
    <n v="0"/>
    <n v="0"/>
    <n v="0"/>
    <n v="0"/>
    <n v="0"/>
    <n v="0"/>
    <n v="0"/>
    <n v="0"/>
    <n v="82.4"/>
  </r>
  <r>
    <x v="1235"/>
    <d v="2025-02-05T00:00:00"/>
    <x v="1"/>
    <s v="West"/>
    <s v="Mobile"/>
    <s v="Unknown"/>
    <s v="Premium"/>
    <n v="1"/>
    <n v="0"/>
    <n v="0"/>
    <n v="0"/>
    <n v="0"/>
    <n v="0"/>
    <n v="0"/>
    <n v="0"/>
    <n v="78.900000000000006"/>
  </r>
  <r>
    <x v="1236"/>
    <d v="2025-01-25T00:00:00"/>
    <x v="1"/>
    <s v="West"/>
    <s v="Desktop"/>
    <s v="Email"/>
    <s v="Free"/>
    <n v="1"/>
    <n v="1"/>
    <n v="1"/>
    <n v="1"/>
    <n v="618.91"/>
    <n v="0"/>
    <n v="0"/>
    <n v="4"/>
    <n v="67.8"/>
  </r>
  <r>
    <x v="1237"/>
    <d v="2025-04-10T00:00:00"/>
    <x v="1"/>
    <s v="East"/>
    <s v="Mobile"/>
    <s v="Organic"/>
    <s v="Premium"/>
    <n v="1"/>
    <n v="0"/>
    <n v="0"/>
    <n v="0"/>
    <n v="0"/>
    <n v="0"/>
    <n v="0"/>
    <n v="0"/>
    <n v="68.8"/>
  </r>
  <r>
    <x v="1238"/>
    <d v="2025-01-10T00:00:00"/>
    <x v="1"/>
    <s v="East"/>
    <s v="Mobile"/>
    <s v="Organic"/>
    <s v="Premium"/>
    <n v="1"/>
    <n v="0"/>
    <n v="0"/>
    <n v="0"/>
    <n v="0"/>
    <n v="0"/>
    <n v="0"/>
    <n v="0"/>
    <n v="67.7"/>
  </r>
  <r>
    <x v="1239"/>
    <d v="2025-02-23T00:00:00"/>
    <x v="1"/>
    <s v="East"/>
    <s v="Mobile"/>
    <s v="Unknown"/>
    <s v="Free"/>
    <n v="0"/>
    <n v="0"/>
    <n v="0"/>
    <n v="0"/>
    <n v="0"/>
    <n v="0"/>
    <n v="0"/>
    <n v="0"/>
    <n v="88"/>
  </r>
  <r>
    <x v="1240"/>
    <d v="2025-05-23T00:00:00"/>
    <x v="1"/>
    <s v="West"/>
    <s v="Desktop"/>
    <s v="Organic"/>
    <s v="Basic"/>
    <n v="1"/>
    <n v="1"/>
    <n v="0"/>
    <n v="0"/>
    <n v="0"/>
    <n v="0"/>
    <n v="0"/>
    <n v="0"/>
    <n v="80.099999999999994"/>
  </r>
  <r>
    <x v="1241"/>
    <d v="2025-03-08T00:00:00"/>
    <x v="1"/>
    <s v="North"/>
    <s v="Tablet"/>
    <s v="Email"/>
    <s v="Basic"/>
    <n v="0"/>
    <n v="0"/>
    <n v="0"/>
    <n v="0"/>
    <n v="0"/>
    <n v="1"/>
    <n v="0"/>
    <n v="0"/>
    <n v="48.2"/>
  </r>
  <r>
    <x v="1242"/>
    <d v="2025-05-21T00:00:00"/>
    <x v="1"/>
    <s v="East"/>
    <s v="Mobile"/>
    <s v="Organic"/>
    <s v="Basic"/>
    <n v="1"/>
    <n v="0"/>
    <n v="0"/>
    <n v="0"/>
    <n v="0"/>
    <n v="0"/>
    <n v="0"/>
    <n v="0"/>
    <n v="52.7"/>
  </r>
  <r>
    <x v="1243"/>
    <d v="2025-04-22T00:00:00"/>
    <x v="1"/>
    <s v="North"/>
    <s v="Mobile"/>
    <s v="Email"/>
    <s v="Basic"/>
    <n v="1"/>
    <n v="1"/>
    <n v="0"/>
    <n v="0"/>
    <n v="0"/>
    <n v="0"/>
    <n v="0"/>
    <n v="0"/>
    <n v="59.9"/>
  </r>
  <r>
    <x v="1244"/>
    <d v="2025-04-16T00:00:00"/>
    <x v="1"/>
    <s v="North"/>
    <s v="Mobile"/>
    <s v="Email"/>
    <s v="Premium"/>
    <n v="1"/>
    <n v="0"/>
    <n v="0"/>
    <n v="0"/>
    <n v="0"/>
    <n v="0"/>
    <n v="0"/>
    <n v="0"/>
    <n v="49.5"/>
  </r>
  <r>
    <x v="1245"/>
    <d v="2025-05-08T00:00:00"/>
    <x v="1"/>
    <s v="North"/>
    <s v="Tablet"/>
    <s v="Organic"/>
    <s v="Free"/>
    <n v="1"/>
    <n v="0"/>
    <n v="0"/>
    <n v="0"/>
    <n v="0"/>
    <n v="0"/>
    <n v="0"/>
    <n v="0"/>
    <n v="41.5"/>
  </r>
  <r>
    <x v="1246"/>
    <d v="2025-05-22T00:00:00"/>
    <x v="1"/>
    <s v="North"/>
    <s v="Mobile"/>
    <s v="Paid Search"/>
    <s v="Basic"/>
    <n v="1"/>
    <n v="0"/>
    <n v="0"/>
    <n v="0"/>
    <n v="0"/>
    <n v="0"/>
    <n v="0"/>
    <n v="0"/>
    <n v="71.2"/>
  </r>
  <r>
    <x v="1247"/>
    <d v="2025-03-21T00:00:00"/>
    <x v="1"/>
    <s v="North"/>
    <s v="Mobile"/>
    <s v="Referral"/>
    <s v="Basic"/>
    <n v="1"/>
    <n v="1"/>
    <n v="1"/>
    <n v="0"/>
    <n v="0"/>
    <n v="0"/>
    <n v="0"/>
    <n v="0"/>
    <n v="65.8"/>
  </r>
  <r>
    <x v="1248"/>
    <d v="2025-03-22T00:00:00"/>
    <x v="1"/>
    <s v="East"/>
    <s v="Mobile"/>
    <s v="Organic"/>
    <s v="Basic"/>
    <n v="1"/>
    <n v="0"/>
    <n v="0"/>
    <n v="0"/>
    <n v="0"/>
    <n v="1"/>
    <n v="0"/>
    <n v="0"/>
    <n v="55.1"/>
  </r>
  <r>
    <x v="1249"/>
    <d v="2025-01-10T00:00:00"/>
    <x v="1"/>
    <s v="West"/>
    <s v="Desktop"/>
    <s v="Social"/>
    <s v="Free"/>
    <n v="1"/>
    <n v="0"/>
    <n v="0"/>
    <n v="0"/>
    <n v="0"/>
    <n v="0"/>
    <n v="0"/>
    <n v="0"/>
    <n v="54.6"/>
  </r>
  <r>
    <x v="1250"/>
    <d v="2025-02-01T00:00:00"/>
    <x v="1"/>
    <s v="East"/>
    <s v="Mobile"/>
    <s v="Organic"/>
    <s v="Basic"/>
    <n v="1"/>
    <n v="1"/>
    <n v="1"/>
    <n v="1"/>
    <n v="923.67"/>
    <n v="0"/>
    <n v="0"/>
    <n v="4"/>
    <n v="81.900000000000006"/>
  </r>
  <r>
    <x v="1251"/>
    <d v="2025-03-31T00:00:00"/>
    <x v="1"/>
    <s v="South"/>
    <s v="Mobile"/>
    <s v="Paid Search"/>
    <s v="Basic"/>
    <n v="1"/>
    <n v="1"/>
    <n v="0"/>
    <n v="0"/>
    <n v="0"/>
    <n v="3"/>
    <n v="0"/>
    <n v="0"/>
    <n v="63.2"/>
  </r>
  <r>
    <x v="1252"/>
    <d v="2025-04-25T00:00:00"/>
    <x v="1"/>
    <s v="North"/>
    <s v="Mobile"/>
    <s v="Paid Search"/>
    <s v="Free"/>
    <n v="1"/>
    <n v="0"/>
    <n v="0"/>
    <n v="0"/>
    <n v="0"/>
    <n v="0"/>
    <n v="0"/>
    <n v="0"/>
    <n v="55.4"/>
  </r>
  <r>
    <x v="1253"/>
    <d v="2025-05-02T00:00:00"/>
    <x v="1"/>
    <s v="West"/>
    <s v="Mobile"/>
    <s v="Social"/>
    <s v="Basic"/>
    <n v="0"/>
    <n v="0"/>
    <n v="0"/>
    <n v="0"/>
    <n v="0"/>
    <n v="0"/>
    <n v="0"/>
    <n v="0"/>
    <n v="87.5"/>
  </r>
  <r>
    <x v="1254"/>
    <d v="2025-03-08T00:00:00"/>
    <x v="1"/>
    <s v="South"/>
    <s v="Desktop"/>
    <s v="Social"/>
    <s v="Basic"/>
    <n v="1"/>
    <n v="0"/>
    <n v="0"/>
    <n v="0"/>
    <n v="0"/>
    <n v="0"/>
    <n v="0"/>
    <n v="0"/>
    <n v="48.5"/>
  </r>
  <r>
    <x v="1255"/>
    <d v="2025-01-27T00:00:00"/>
    <x v="1"/>
    <s v="East"/>
    <s v="Desktop"/>
    <s v="Unknown"/>
    <s v="Free"/>
    <n v="1"/>
    <n v="1"/>
    <n v="1"/>
    <n v="1"/>
    <n v="420.27"/>
    <n v="0"/>
    <n v="0"/>
    <n v="6"/>
    <n v="58.4"/>
  </r>
  <r>
    <x v="1256"/>
    <d v="2025-04-27T00:00:00"/>
    <x v="1"/>
    <s v="West"/>
    <s v="Mobile"/>
    <s v="Paid Search"/>
    <s v="Free"/>
    <n v="0"/>
    <n v="0"/>
    <n v="0"/>
    <n v="0"/>
    <n v="0"/>
    <n v="0"/>
    <n v="0"/>
    <n v="0"/>
    <n v="59.5"/>
  </r>
  <r>
    <x v="1257"/>
    <d v="2025-01-16T00:00:00"/>
    <x v="1"/>
    <s v="West"/>
    <s v="Desktop"/>
    <s v="Paid Search"/>
    <s v="Basic"/>
    <n v="1"/>
    <n v="0"/>
    <n v="0"/>
    <n v="0"/>
    <n v="0"/>
    <n v="0"/>
    <n v="0"/>
    <n v="0"/>
    <n v="93.2"/>
  </r>
  <r>
    <x v="1258"/>
    <d v="2025-01-18T00:00:00"/>
    <x v="1"/>
    <s v="West"/>
    <s v="Desktop"/>
    <s v="Paid Search"/>
    <s v="Basic"/>
    <n v="1"/>
    <n v="0"/>
    <n v="0"/>
    <n v="0"/>
    <n v="0"/>
    <n v="0"/>
    <n v="0"/>
    <n v="0"/>
    <n v="59"/>
  </r>
  <r>
    <x v="1259"/>
    <d v="2025-03-21T00:00:00"/>
    <x v="1"/>
    <s v="North"/>
    <s v="Mobile"/>
    <s v="Organic"/>
    <s v="Free"/>
    <n v="1"/>
    <n v="0"/>
    <n v="0"/>
    <n v="0"/>
    <n v="0"/>
    <n v="0"/>
    <n v="0"/>
    <n v="0"/>
    <n v="37"/>
  </r>
  <r>
    <x v="1260"/>
    <d v="2025-04-02T00:00:00"/>
    <x v="1"/>
    <s v="North"/>
    <s v="Desktop"/>
    <s v="Paid Search"/>
    <s v="Free"/>
    <n v="1"/>
    <n v="0"/>
    <n v="0"/>
    <n v="0"/>
    <n v="0"/>
    <n v="0"/>
    <n v="0"/>
    <n v="0"/>
    <n v="47.5"/>
  </r>
  <r>
    <x v="1261"/>
    <d v="2025-02-16T00:00:00"/>
    <x v="1"/>
    <s v="West"/>
    <s v="Desktop"/>
    <s v="Organic"/>
    <s v="Free"/>
    <n v="1"/>
    <n v="1"/>
    <n v="1"/>
    <n v="0"/>
    <n v="0"/>
    <n v="0"/>
    <n v="0"/>
    <n v="0"/>
    <n v="78.7"/>
  </r>
  <r>
    <x v="1262"/>
    <d v="2025-02-18T00:00:00"/>
    <x v="1"/>
    <s v="North"/>
    <s v="Mobile"/>
    <s v="Social"/>
    <s v="Free"/>
    <n v="1"/>
    <n v="0"/>
    <n v="0"/>
    <n v="0"/>
    <n v="0"/>
    <n v="0"/>
    <n v="0"/>
    <n v="0"/>
    <n v="49.6"/>
  </r>
  <r>
    <x v="1263"/>
    <d v="2025-01-09T00:00:00"/>
    <x v="1"/>
    <s v="East"/>
    <s v="Mobile"/>
    <s v="Organic"/>
    <s v="Free"/>
    <n v="1"/>
    <n v="0"/>
    <n v="0"/>
    <n v="0"/>
    <n v="0"/>
    <n v="0"/>
    <n v="0"/>
    <n v="0"/>
    <n v="58"/>
  </r>
  <r>
    <x v="1264"/>
    <d v="2025-02-18T00:00:00"/>
    <x v="1"/>
    <s v="North"/>
    <s v="Desktop"/>
    <s v="Paid Search"/>
    <s v="Free"/>
    <n v="1"/>
    <n v="0"/>
    <n v="0"/>
    <n v="0"/>
    <n v="0"/>
    <n v="1"/>
    <n v="0"/>
    <n v="0"/>
    <n v="54.4"/>
  </r>
  <r>
    <x v="1265"/>
    <d v="2025-01-10T00:00:00"/>
    <x v="1"/>
    <s v="East"/>
    <s v="Mobile"/>
    <s v="Referral"/>
    <s v="Free"/>
    <n v="0"/>
    <n v="0"/>
    <n v="0"/>
    <n v="0"/>
    <n v="0"/>
    <n v="0"/>
    <n v="0"/>
    <n v="0"/>
    <n v="33.700000000000003"/>
  </r>
  <r>
    <x v="1266"/>
    <d v="2025-03-08T00:00:00"/>
    <x v="1"/>
    <s v="West"/>
    <s v="Mobile"/>
    <s v="Email"/>
    <s v="Free"/>
    <n v="1"/>
    <n v="0"/>
    <n v="0"/>
    <n v="0"/>
    <n v="0"/>
    <n v="0"/>
    <n v="0"/>
    <n v="0"/>
    <n v="72.7"/>
  </r>
  <r>
    <x v="1267"/>
    <d v="2025-04-16T00:00:00"/>
    <x v="1"/>
    <s v="East"/>
    <s v="Desktop"/>
    <s v="Paid Search"/>
    <s v="Basic"/>
    <n v="0"/>
    <n v="0"/>
    <n v="0"/>
    <n v="0"/>
    <n v="0"/>
    <n v="0"/>
    <n v="0"/>
    <n v="0"/>
    <n v="64.7"/>
  </r>
  <r>
    <x v="1268"/>
    <d v="2025-02-19T00:00:00"/>
    <x v="1"/>
    <s v="West"/>
    <s v="Desktop"/>
    <s v="Paid Search"/>
    <s v="Premium"/>
    <n v="0"/>
    <n v="0"/>
    <n v="0"/>
    <n v="0"/>
    <n v="0"/>
    <n v="1"/>
    <n v="0"/>
    <n v="0"/>
    <n v="48.6"/>
  </r>
  <r>
    <x v="1269"/>
    <d v="2025-03-16T00:00:00"/>
    <x v="1"/>
    <s v="East"/>
    <s v="Desktop"/>
    <s v="Social"/>
    <s v="Free"/>
    <n v="1"/>
    <n v="1"/>
    <n v="0"/>
    <n v="0"/>
    <n v="0"/>
    <n v="0"/>
    <n v="0"/>
    <n v="0"/>
    <n v="66.2"/>
  </r>
  <r>
    <x v="1270"/>
    <d v="2025-02-03T00:00:00"/>
    <x v="1"/>
    <s v="West"/>
    <s v="Unknown"/>
    <s v="Referral"/>
    <s v="Basic"/>
    <n v="1"/>
    <n v="0"/>
    <n v="0"/>
    <n v="0"/>
    <n v="0"/>
    <n v="1"/>
    <n v="0"/>
    <n v="0"/>
    <n v="60.7"/>
  </r>
  <r>
    <x v="1271"/>
    <d v="2025-03-12T00:00:00"/>
    <x v="1"/>
    <s v="West"/>
    <s v="Mobile"/>
    <s v="Paid Search"/>
    <s v="Basic"/>
    <n v="1"/>
    <n v="0"/>
    <n v="0"/>
    <n v="0"/>
    <n v="0"/>
    <n v="0"/>
    <n v="0"/>
    <n v="0"/>
    <n v="36.5"/>
  </r>
  <r>
    <x v="1272"/>
    <d v="2025-05-09T00:00:00"/>
    <x v="1"/>
    <s v="West"/>
    <s v="Mobile"/>
    <s v="Social"/>
    <s v="Free"/>
    <n v="1"/>
    <n v="1"/>
    <n v="1"/>
    <n v="0"/>
    <n v="0"/>
    <n v="3"/>
    <n v="0"/>
    <n v="0"/>
    <n v="69.7"/>
  </r>
  <r>
    <x v="1273"/>
    <d v="2025-01-19T00:00:00"/>
    <x v="1"/>
    <s v="South"/>
    <s v="Desktop"/>
    <s v="Social"/>
    <s v="Premium"/>
    <n v="1"/>
    <n v="0"/>
    <n v="0"/>
    <n v="0"/>
    <n v="0"/>
    <n v="0"/>
    <n v="0"/>
    <n v="0"/>
    <n v="81.8"/>
  </r>
  <r>
    <x v="1274"/>
    <d v="2025-01-24T00:00:00"/>
    <x v="1"/>
    <s v="West"/>
    <s v="Mobile"/>
    <s v="Referral"/>
    <s v="Free"/>
    <n v="1"/>
    <n v="1"/>
    <n v="1"/>
    <n v="0"/>
    <n v="0"/>
    <n v="1"/>
    <n v="0"/>
    <n v="0"/>
    <n v="78.3"/>
  </r>
  <r>
    <x v="1275"/>
    <d v="2025-03-03T00:00:00"/>
    <x v="1"/>
    <s v="East"/>
    <s v="Mobile"/>
    <s v="Referral"/>
    <s v="Free"/>
    <n v="1"/>
    <n v="1"/>
    <n v="0"/>
    <n v="0"/>
    <n v="0"/>
    <n v="0"/>
    <n v="0"/>
    <n v="0"/>
    <n v="79.400000000000006"/>
  </r>
  <r>
    <x v="1276"/>
    <d v="2025-05-27T00:00:00"/>
    <x v="1"/>
    <s v="North"/>
    <s v="Desktop"/>
    <s v="Referral"/>
    <s v="Free"/>
    <n v="1"/>
    <n v="1"/>
    <n v="1"/>
    <n v="0"/>
    <n v="0"/>
    <n v="0"/>
    <n v="0"/>
    <n v="0"/>
    <n v="54.9"/>
  </r>
  <r>
    <x v="1277"/>
    <d v="2025-04-23T00:00:00"/>
    <x v="1"/>
    <s v="West"/>
    <s v="Desktop"/>
    <s v="Organic"/>
    <s v="Basic"/>
    <n v="1"/>
    <n v="0"/>
    <n v="0"/>
    <n v="0"/>
    <n v="0"/>
    <n v="0"/>
    <n v="0"/>
    <n v="0"/>
    <n v="54.9"/>
  </r>
  <r>
    <x v="1278"/>
    <d v="2025-02-10T00:00:00"/>
    <x v="1"/>
    <s v="East"/>
    <s v="Desktop"/>
    <s v="Social"/>
    <s v="Free"/>
    <n v="0"/>
    <n v="0"/>
    <n v="0"/>
    <n v="0"/>
    <n v="0"/>
    <n v="0"/>
    <n v="0"/>
    <n v="0"/>
    <n v="28.7"/>
  </r>
  <r>
    <x v="1279"/>
    <d v="2025-02-11T00:00:00"/>
    <x v="1"/>
    <s v="North"/>
    <s v="Mobile"/>
    <s v="Organic"/>
    <s v="Free"/>
    <n v="0"/>
    <n v="0"/>
    <n v="0"/>
    <n v="0"/>
    <n v="0"/>
    <n v="0"/>
    <n v="0"/>
    <n v="0"/>
    <n v="68.8"/>
  </r>
  <r>
    <x v="1280"/>
    <d v="2025-01-21T00:00:00"/>
    <x v="1"/>
    <s v="East"/>
    <s v="Desktop"/>
    <s v="Paid Search"/>
    <s v="Free"/>
    <n v="1"/>
    <n v="1"/>
    <n v="1"/>
    <n v="0"/>
    <n v="0"/>
    <n v="0"/>
    <n v="0"/>
    <n v="0"/>
    <n v="43.5"/>
  </r>
  <r>
    <x v="1281"/>
    <d v="2025-02-02T00:00:00"/>
    <x v="1"/>
    <s v="West"/>
    <s v="Desktop"/>
    <s v="Social"/>
    <s v="Free"/>
    <n v="1"/>
    <n v="1"/>
    <n v="0"/>
    <n v="0"/>
    <n v="0"/>
    <n v="0"/>
    <n v="0"/>
    <n v="0"/>
    <n v="62.6"/>
  </r>
  <r>
    <x v="1282"/>
    <d v="2025-02-02T00:00:00"/>
    <x v="1"/>
    <s v="West"/>
    <s v="Mobile"/>
    <s v="Organic"/>
    <s v="Free"/>
    <n v="0"/>
    <n v="0"/>
    <n v="0"/>
    <n v="0"/>
    <n v="0"/>
    <n v="1"/>
    <n v="0"/>
    <n v="0"/>
    <n v="54.1"/>
  </r>
  <r>
    <x v="1283"/>
    <d v="2025-02-26T00:00:00"/>
    <x v="1"/>
    <s v="West"/>
    <s v="Tablet"/>
    <s v="Social"/>
    <s v="Free"/>
    <n v="1"/>
    <n v="1"/>
    <n v="1"/>
    <n v="0"/>
    <n v="0"/>
    <n v="0"/>
    <n v="0"/>
    <n v="0"/>
    <n v="80.099999999999994"/>
  </r>
  <r>
    <x v="1284"/>
    <d v="2025-04-22T00:00:00"/>
    <x v="1"/>
    <s v="North"/>
    <s v="Mobile"/>
    <s v="Social"/>
    <s v="Premium"/>
    <n v="1"/>
    <n v="0"/>
    <n v="0"/>
    <n v="0"/>
    <n v="0"/>
    <n v="0"/>
    <n v="0"/>
    <n v="0"/>
    <n v="69.5"/>
  </r>
  <r>
    <x v="1285"/>
    <d v="2025-03-11T00:00:00"/>
    <x v="1"/>
    <s v="North"/>
    <s v="Desktop"/>
    <s v="Organic"/>
    <s v="Basic"/>
    <n v="0"/>
    <n v="0"/>
    <n v="0"/>
    <n v="0"/>
    <n v="0"/>
    <n v="2"/>
    <n v="0"/>
    <n v="0"/>
    <n v="46.6"/>
  </r>
  <r>
    <x v="1286"/>
    <d v="2025-05-08T00:00:00"/>
    <x v="1"/>
    <s v="South"/>
    <s v="Mobile"/>
    <s v="Organic"/>
    <s v="Premium"/>
    <n v="1"/>
    <n v="0"/>
    <n v="0"/>
    <n v="0"/>
    <n v="0"/>
    <n v="1"/>
    <n v="0"/>
    <n v="0"/>
    <n v="54.9"/>
  </r>
  <r>
    <x v="1287"/>
    <d v="2025-03-10T00:00:00"/>
    <x v="1"/>
    <s v="East"/>
    <s v="Desktop"/>
    <s v="Organic"/>
    <s v="Free"/>
    <n v="0"/>
    <n v="0"/>
    <n v="0"/>
    <n v="0"/>
    <n v="0"/>
    <n v="0"/>
    <n v="0"/>
    <n v="0"/>
    <n v="100"/>
  </r>
  <r>
    <x v="1288"/>
    <d v="2025-04-16T00:00:00"/>
    <x v="1"/>
    <s v="East"/>
    <s v="Desktop"/>
    <s v="Paid Search"/>
    <s v="Free"/>
    <n v="1"/>
    <n v="1"/>
    <n v="1"/>
    <n v="0"/>
    <n v="0"/>
    <n v="1"/>
    <n v="0"/>
    <n v="0"/>
    <n v="80.5"/>
  </r>
  <r>
    <x v="1289"/>
    <d v="2025-03-01T00:00:00"/>
    <x v="1"/>
    <s v="West"/>
    <s v="Tablet"/>
    <s v="Organic"/>
    <s v="Basic"/>
    <n v="1"/>
    <n v="0"/>
    <n v="0"/>
    <n v="0"/>
    <n v="0"/>
    <n v="0"/>
    <n v="0"/>
    <n v="0"/>
    <n v="51.2"/>
  </r>
  <r>
    <x v="1290"/>
    <d v="2025-01-18T00:00:00"/>
    <x v="1"/>
    <s v="South"/>
    <s v="Desktop"/>
    <s v="Organic"/>
    <s v="Premium"/>
    <n v="1"/>
    <n v="0"/>
    <n v="0"/>
    <n v="0"/>
    <n v="0"/>
    <n v="0"/>
    <n v="0"/>
    <n v="0"/>
    <n v="42.5"/>
  </r>
  <r>
    <x v="1291"/>
    <d v="2025-03-30T00:00:00"/>
    <x v="1"/>
    <s v="North"/>
    <s v="Mobile"/>
    <s v="Paid Search"/>
    <s v="Free"/>
    <n v="0"/>
    <n v="0"/>
    <n v="0"/>
    <n v="0"/>
    <n v="0"/>
    <n v="0"/>
    <n v="0"/>
    <n v="0"/>
    <n v="72.5"/>
  </r>
  <r>
    <x v="1292"/>
    <d v="2025-05-26T00:00:00"/>
    <x v="1"/>
    <s v="West"/>
    <s v="Mobile"/>
    <s v="Social"/>
    <s v="Premium"/>
    <n v="0"/>
    <n v="0"/>
    <n v="0"/>
    <n v="0"/>
    <n v="0"/>
    <n v="0"/>
    <n v="0"/>
    <n v="0"/>
    <n v="74.400000000000006"/>
  </r>
  <r>
    <x v="1293"/>
    <d v="2025-03-19T00:00:00"/>
    <x v="1"/>
    <s v="East"/>
    <s v="Desktop"/>
    <s v="Social"/>
    <s v="Free"/>
    <n v="0"/>
    <n v="0"/>
    <n v="0"/>
    <n v="0"/>
    <n v="0"/>
    <n v="0"/>
    <n v="0"/>
    <n v="0"/>
    <n v="78.400000000000006"/>
  </r>
  <r>
    <x v="1294"/>
    <d v="2025-03-28T00:00:00"/>
    <x v="1"/>
    <s v="North"/>
    <s v="Desktop"/>
    <s v="Referral"/>
    <s v="Free"/>
    <n v="1"/>
    <n v="0"/>
    <n v="0"/>
    <n v="0"/>
    <n v="0"/>
    <n v="0"/>
    <n v="0"/>
    <n v="0"/>
    <n v="71.5"/>
  </r>
  <r>
    <x v="1295"/>
    <d v="2025-05-28T00:00:00"/>
    <x v="1"/>
    <s v="South"/>
    <s v="Desktop"/>
    <s v="Social"/>
    <s v="Free"/>
    <n v="1"/>
    <n v="0"/>
    <n v="0"/>
    <n v="0"/>
    <n v="0"/>
    <n v="0"/>
    <n v="0"/>
    <n v="0"/>
    <n v="66.7"/>
  </r>
  <r>
    <x v="1296"/>
    <d v="2025-05-31T00:00:00"/>
    <x v="1"/>
    <s v="South"/>
    <s v="Desktop"/>
    <s v="Referral"/>
    <s v="Premium"/>
    <n v="1"/>
    <n v="1"/>
    <n v="1"/>
    <n v="1"/>
    <n v="1496.09"/>
    <n v="0"/>
    <n v="0"/>
    <n v="7"/>
    <n v="60.4"/>
  </r>
  <r>
    <x v="1297"/>
    <d v="2025-05-10T00:00:00"/>
    <x v="1"/>
    <s v="North"/>
    <s v="Mobile"/>
    <s v="Referral"/>
    <s v="Free"/>
    <n v="0"/>
    <n v="0"/>
    <n v="0"/>
    <n v="0"/>
    <n v="0"/>
    <n v="1"/>
    <n v="0"/>
    <n v="0"/>
    <n v="72.900000000000006"/>
  </r>
  <r>
    <x v="1298"/>
    <d v="2025-05-17T00:00:00"/>
    <x v="1"/>
    <s v="West"/>
    <s v="Mobile"/>
    <s v="Organic"/>
    <s v="Free"/>
    <n v="0"/>
    <n v="0"/>
    <n v="0"/>
    <n v="0"/>
    <n v="0"/>
    <n v="3"/>
    <n v="0"/>
    <n v="0"/>
    <n v="0"/>
  </r>
  <r>
    <x v="1299"/>
    <d v="2025-01-18T00:00:00"/>
    <x v="1"/>
    <s v="South"/>
    <s v="Mobile"/>
    <s v="Organic"/>
    <s v="Premium"/>
    <n v="1"/>
    <n v="0"/>
    <n v="0"/>
    <n v="0"/>
    <n v="0"/>
    <n v="0"/>
    <n v="0"/>
    <n v="0"/>
    <n v="55.2"/>
  </r>
  <r>
    <x v="1300"/>
    <d v="2025-05-04T00:00:00"/>
    <x v="1"/>
    <s v="West"/>
    <s v="Mobile"/>
    <s v="Social"/>
    <s v="Free"/>
    <n v="1"/>
    <n v="0"/>
    <n v="0"/>
    <n v="0"/>
    <n v="0"/>
    <n v="0"/>
    <n v="0"/>
    <n v="0"/>
    <n v="67.8"/>
  </r>
  <r>
    <x v="1301"/>
    <d v="2025-03-25T00:00:00"/>
    <x v="1"/>
    <s v="North"/>
    <s v="Mobile"/>
    <s v="Organic"/>
    <s v="Free"/>
    <n v="1"/>
    <n v="0"/>
    <n v="0"/>
    <n v="0"/>
    <n v="0"/>
    <n v="2"/>
    <n v="0"/>
    <n v="0"/>
    <n v="70"/>
  </r>
  <r>
    <x v="1302"/>
    <d v="2025-02-27T00:00:00"/>
    <x v="1"/>
    <s v="North"/>
    <s v="Mobile"/>
    <s v="Social"/>
    <s v="Basic"/>
    <n v="1"/>
    <n v="1"/>
    <n v="1"/>
    <n v="0"/>
    <n v="0"/>
    <n v="0"/>
    <n v="0"/>
    <n v="0"/>
    <n v="51.1"/>
  </r>
  <r>
    <x v="1303"/>
    <d v="2025-01-14T00:00:00"/>
    <x v="1"/>
    <s v="West"/>
    <s v="Mobile"/>
    <s v="Paid Search"/>
    <s v="Basic"/>
    <n v="1"/>
    <n v="1"/>
    <n v="1"/>
    <n v="0"/>
    <n v="0"/>
    <n v="0"/>
    <n v="0"/>
    <n v="0"/>
    <n v="57"/>
  </r>
  <r>
    <x v="1304"/>
    <d v="2025-04-11T00:00:00"/>
    <x v="1"/>
    <s v="East"/>
    <s v="Mobile"/>
    <s v="Social"/>
    <s v="Free"/>
    <n v="0"/>
    <n v="0"/>
    <n v="0"/>
    <n v="0"/>
    <n v="0"/>
    <n v="1"/>
    <n v="0"/>
    <n v="0"/>
    <n v="47.1"/>
  </r>
  <r>
    <x v="1305"/>
    <d v="2025-03-26T00:00:00"/>
    <x v="1"/>
    <s v="East"/>
    <s v="Desktop"/>
    <s v="Social"/>
    <s v="Basic"/>
    <n v="0"/>
    <n v="0"/>
    <n v="0"/>
    <n v="0"/>
    <n v="0"/>
    <n v="0"/>
    <n v="0"/>
    <n v="0"/>
    <n v="30.7"/>
  </r>
  <r>
    <x v="1306"/>
    <d v="2025-02-12T00:00:00"/>
    <x v="1"/>
    <s v="West"/>
    <s v="Desktop"/>
    <s v="Social"/>
    <s v="Free"/>
    <n v="1"/>
    <n v="0"/>
    <n v="0"/>
    <n v="0"/>
    <n v="0"/>
    <n v="0"/>
    <n v="0"/>
    <n v="0"/>
    <n v="57.3"/>
  </r>
  <r>
    <x v="1307"/>
    <d v="2025-02-18T00:00:00"/>
    <x v="1"/>
    <s v="West"/>
    <s v="Tablet"/>
    <s v="Paid Search"/>
    <s v="Basic"/>
    <n v="1"/>
    <n v="0"/>
    <n v="0"/>
    <n v="0"/>
    <n v="0"/>
    <n v="0"/>
    <n v="0"/>
    <n v="0"/>
    <n v="70"/>
  </r>
  <r>
    <x v="1308"/>
    <d v="2025-05-25T00:00:00"/>
    <x v="1"/>
    <s v="East"/>
    <s v="Desktop"/>
    <s v="Social"/>
    <s v="Free"/>
    <n v="1"/>
    <n v="1"/>
    <n v="1"/>
    <n v="0"/>
    <n v="0"/>
    <n v="0"/>
    <n v="0"/>
    <n v="0"/>
    <n v="59.7"/>
  </r>
  <r>
    <x v="1309"/>
    <d v="2025-05-23T00:00:00"/>
    <x v="1"/>
    <s v="East"/>
    <s v="Desktop"/>
    <s v="Paid Search"/>
    <s v="Basic"/>
    <n v="1"/>
    <n v="0"/>
    <n v="0"/>
    <n v="0"/>
    <n v="0"/>
    <n v="0"/>
    <n v="0"/>
    <n v="0"/>
    <n v="68.8"/>
  </r>
  <r>
    <x v="1310"/>
    <d v="2025-01-16T00:00:00"/>
    <x v="1"/>
    <s v="North"/>
    <s v="Desktop"/>
    <s v="Organic"/>
    <s v="Free"/>
    <n v="1"/>
    <n v="1"/>
    <n v="1"/>
    <n v="1"/>
    <n v="428.37"/>
    <n v="0"/>
    <n v="0"/>
    <n v="9"/>
    <n v="88.3"/>
  </r>
  <r>
    <x v="1311"/>
    <d v="2025-01-19T00:00:00"/>
    <x v="1"/>
    <s v="West"/>
    <s v="Desktop"/>
    <s v="Email"/>
    <s v="Basic"/>
    <n v="0"/>
    <n v="0"/>
    <n v="0"/>
    <n v="0"/>
    <n v="0"/>
    <n v="0"/>
    <n v="0"/>
    <n v="0"/>
    <n v="83.4"/>
  </r>
  <r>
    <x v="1312"/>
    <d v="2025-05-18T00:00:00"/>
    <x v="1"/>
    <s v="South"/>
    <s v="Mobile"/>
    <s v="Referral"/>
    <s v="Free"/>
    <n v="0"/>
    <n v="0"/>
    <n v="0"/>
    <n v="0"/>
    <n v="0"/>
    <n v="1"/>
    <n v="0"/>
    <n v="0"/>
    <n v="81.599999999999994"/>
  </r>
  <r>
    <x v="1313"/>
    <d v="2025-01-23T00:00:00"/>
    <x v="1"/>
    <s v="East"/>
    <s v="Tablet"/>
    <s v="Social"/>
    <s v="Premium"/>
    <n v="1"/>
    <n v="0"/>
    <n v="0"/>
    <n v="0"/>
    <n v="0"/>
    <n v="0"/>
    <n v="0"/>
    <n v="0"/>
    <n v="91.6"/>
  </r>
  <r>
    <x v="1314"/>
    <d v="2025-01-08T00:00:00"/>
    <x v="1"/>
    <s v="East"/>
    <s v="Tablet"/>
    <s v="Unknown"/>
    <s v="Premium"/>
    <n v="1"/>
    <n v="1"/>
    <n v="1"/>
    <n v="0"/>
    <n v="0"/>
    <n v="1"/>
    <n v="0"/>
    <n v="0"/>
    <n v="61.5"/>
  </r>
  <r>
    <x v="1315"/>
    <d v="2025-02-19T00:00:00"/>
    <x v="1"/>
    <s v="North"/>
    <s v="Mobile"/>
    <s v="Organic"/>
    <s v="Premium"/>
    <n v="0"/>
    <n v="0"/>
    <n v="0"/>
    <n v="0"/>
    <n v="0"/>
    <n v="0"/>
    <n v="0"/>
    <n v="0"/>
    <n v="0"/>
  </r>
  <r>
    <x v="1316"/>
    <d v="2025-02-10T00:00:00"/>
    <x v="1"/>
    <s v="South"/>
    <s v="Mobile"/>
    <s v="Organic"/>
    <s v="Free"/>
    <n v="1"/>
    <n v="0"/>
    <n v="0"/>
    <n v="0"/>
    <n v="0"/>
    <n v="0"/>
    <n v="0"/>
    <n v="0"/>
    <n v="32.6"/>
  </r>
  <r>
    <x v="1317"/>
    <d v="2025-04-13T00:00:00"/>
    <x v="1"/>
    <s v="South"/>
    <s v="Mobile"/>
    <s v="Paid Search"/>
    <s v="Free"/>
    <n v="1"/>
    <n v="0"/>
    <n v="0"/>
    <n v="0"/>
    <n v="0"/>
    <n v="0"/>
    <n v="0"/>
    <n v="0"/>
    <n v="73.900000000000006"/>
  </r>
  <r>
    <x v="1318"/>
    <d v="2025-05-20T00:00:00"/>
    <x v="1"/>
    <s v="East"/>
    <s v="Mobile"/>
    <s v="Organic"/>
    <s v="Free"/>
    <n v="1"/>
    <n v="1"/>
    <n v="1"/>
    <n v="1"/>
    <n v="444.06"/>
    <n v="0"/>
    <n v="0"/>
    <n v="9"/>
    <n v="99.9"/>
  </r>
  <r>
    <x v="1319"/>
    <d v="2025-05-13T00:00:00"/>
    <x v="1"/>
    <s v="South"/>
    <s v="Mobile"/>
    <s v="Paid Search"/>
    <s v="Basic"/>
    <n v="1"/>
    <n v="1"/>
    <n v="0"/>
    <n v="0"/>
    <n v="0"/>
    <n v="1"/>
    <n v="0"/>
    <n v="0"/>
    <n v="62.4"/>
  </r>
  <r>
    <x v="1320"/>
    <d v="2025-05-28T00:00:00"/>
    <x v="1"/>
    <s v="South"/>
    <s v="Desktop"/>
    <s v="Paid Search"/>
    <s v="Basic"/>
    <n v="1"/>
    <n v="0"/>
    <n v="0"/>
    <n v="0"/>
    <n v="0"/>
    <n v="0"/>
    <n v="0"/>
    <n v="0"/>
    <n v="46.1"/>
  </r>
  <r>
    <x v="1321"/>
    <d v="2025-03-19T00:00:00"/>
    <x v="1"/>
    <s v="West"/>
    <s v="Mobile"/>
    <s v="Organic"/>
    <s v="Free"/>
    <n v="1"/>
    <n v="1"/>
    <n v="1"/>
    <n v="1"/>
    <n v="2660.21"/>
    <n v="0"/>
    <n v="0"/>
    <n v="3"/>
    <n v="73.900000000000006"/>
  </r>
  <r>
    <x v="1322"/>
    <d v="2025-02-03T00:00:00"/>
    <x v="1"/>
    <s v="North"/>
    <s v="Mobile"/>
    <s v="Email"/>
    <s v="Premium"/>
    <n v="0"/>
    <n v="0"/>
    <n v="0"/>
    <n v="0"/>
    <n v="0"/>
    <n v="0"/>
    <n v="0"/>
    <n v="0"/>
    <n v="90"/>
  </r>
  <r>
    <x v="1323"/>
    <d v="2025-02-26T00:00:00"/>
    <x v="1"/>
    <s v="South"/>
    <s v="Mobile"/>
    <s v="Email"/>
    <s v="Basic"/>
    <n v="1"/>
    <n v="0"/>
    <n v="0"/>
    <n v="0"/>
    <n v="0"/>
    <n v="1"/>
    <n v="0"/>
    <n v="0"/>
    <n v="68.8"/>
  </r>
  <r>
    <x v="1324"/>
    <d v="2025-01-26T00:00:00"/>
    <x v="1"/>
    <s v="West"/>
    <s v="Mobile"/>
    <s v="Paid Search"/>
    <s v="Free"/>
    <n v="1"/>
    <n v="0"/>
    <n v="0"/>
    <n v="0"/>
    <n v="0"/>
    <n v="0"/>
    <n v="0"/>
    <n v="0"/>
    <n v="66.599999999999994"/>
  </r>
  <r>
    <x v="1325"/>
    <d v="2025-05-13T00:00:00"/>
    <x v="1"/>
    <s v="North"/>
    <s v="Mobile"/>
    <s v="Organic"/>
    <s v="Premium"/>
    <n v="1"/>
    <n v="0"/>
    <n v="0"/>
    <n v="0"/>
    <n v="0"/>
    <n v="0"/>
    <n v="0"/>
    <n v="0"/>
    <n v="49.7"/>
  </r>
  <r>
    <x v="1326"/>
    <d v="2025-02-02T00:00:00"/>
    <x v="1"/>
    <s v="South"/>
    <s v="Mobile"/>
    <s v="Paid Search"/>
    <s v="Basic"/>
    <n v="0"/>
    <n v="0"/>
    <n v="0"/>
    <n v="0"/>
    <n v="0"/>
    <n v="0"/>
    <n v="0"/>
    <n v="0"/>
    <n v="67.900000000000006"/>
  </r>
  <r>
    <x v="1327"/>
    <d v="2025-04-30T00:00:00"/>
    <x v="1"/>
    <s v="West"/>
    <s v="Mobile"/>
    <s v="Unknown"/>
    <s v="Basic"/>
    <n v="0"/>
    <n v="0"/>
    <n v="0"/>
    <n v="0"/>
    <n v="0"/>
    <n v="0"/>
    <n v="0"/>
    <n v="0"/>
    <n v="66.900000000000006"/>
  </r>
  <r>
    <x v="1328"/>
    <d v="2025-03-29T00:00:00"/>
    <x v="1"/>
    <s v="East"/>
    <s v="Mobile"/>
    <s v="Organic"/>
    <s v="Free"/>
    <n v="0"/>
    <n v="0"/>
    <n v="0"/>
    <n v="0"/>
    <n v="0"/>
    <n v="0"/>
    <n v="0"/>
    <n v="0"/>
    <n v="46.1"/>
  </r>
  <r>
    <x v="1329"/>
    <d v="2025-04-09T00:00:00"/>
    <x v="1"/>
    <s v="West"/>
    <s v="Desktop"/>
    <s v="Referral"/>
    <s v="Premium"/>
    <n v="1"/>
    <n v="0"/>
    <n v="0"/>
    <n v="0"/>
    <n v="0"/>
    <n v="0"/>
    <n v="0"/>
    <n v="0"/>
    <n v="85.6"/>
  </r>
  <r>
    <x v="1330"/>
    <d v="2025-01-22T00:00:00"/>
    <x v="1"/>
    <s v="South"/>
    <s v="Tablet"/>
    <s v="Organic"/>
    <s v="Free"/>
    <n v="0"/>
    <n v="0"/>
    <n v="0"/>
    <n v="0"/>
    <n v="0"/>
    <n v="0"/>
    <n v="0"/>
    <n v="0"/>
    <n v="39.6"/>
  </r>
  <r>
    <x v="1331"/>
    <d v="2025-01-27T00:00:00"/>
    <x v="1"/>
    <s v="South"/>
    <s v="Mobile"/>
    <s v="Organic"/>
    <s v="Basic"/>
    <n v="1"/>
    <n v="0"/>
    <n v="0"/>
    <n v="0"/>
    <n v="0"/>
    <n v="0"/>
    <n v="0"/>
    <n v="0"/>
    <n v="52.5"/>
  </r>
  <r>
    <x v="1332"/>
    <d v="2025-01-22T00:00:00"/>
    <x v="1"/>
    <s v="East"/>
    <s v="Mobile"/>
    <s v="Social"/>
    <s v="Premium"/>
    <n v="1"/>
    <n v="0"/>
    <n v="0"/>
    <n v="0"/>
    <n v="0"/>
    <n v="0"/>
    <n v="0"/>
    <n v="0"/>
    <n v="73.5"/>
  </r>
  <r>
    <x v="1333"/>
    <d v="2025-01-06T00:00:00"/>
    <x v="1"/>
    <s v="West"/>
    <s v="Desktop"/>
    <s v="Paid Search"/>
    <s v="Free"/>
    <n v="0"/>
    <n v="0"/>
    <n v="0"/>
    <n v="0"/>
    <n v="0"/>
    <n v="0"/>
    <n v="0"/>
    <n v="0"/>
    <n v="62.5"/>
  </r>
  <r>
    <x v="1334"/>
    <d v="2025-04-16T00:00:00"/>
    <x v="1"/>
    <s v="South"/>
    <s v="Unknown"/>
    <s v="Organic"/>
    <s v="Free"/>
    <n v="1"/>
    <n v="0"/>
    <n v="0"/>
    <n v="0"/>
    <n v="0"/>
    <n v="0"/>
    <n v="0"/>
    <n v="0"/>
    <n v="76.900000000000006"/>
  </r>
  <r>
    <x v="1335"/>
    <d v="2025-04-14T00:00:00"/>
    <x v="1"/>
    <s v="South"/>
    <s v="Mobile"/>
    <s v="Organic"/>
    <s v="Free"/>
    <n v="1"/>
    <n v="0"/>
    <n v="0"/>
    <n v="0"/>
    <n v="0"/>
    <n v="0"/>
    <n v="0"/>
    <n v="0"/>
    <n v="51.4"/>
  </r>
  <r>
    <x v="1336"/>
    <d v="2025-02-22T00:00:00"/>
    <x v="1"/>
    <s v="West"/>
    <s v="Mobile"/>
    <s v="Paid Search"/>
    <s v="Basic"/>
    <n v="1"/>
    <n v="0"/>
    <n v="0"/>
    <n v="0"/>
    <n v="0"/>
    <n v="0"/>
    <n v="0"/>
    <n v="0"/>
    <n v="59.3"/>
  </r>
  <r>
    <x v="1337"/>
    <d v="2025-03-09T00:00:00"/>
    <x v="1"/>
    <s v="North"/>
    <s v="Mobile"/>
    <s v="Organic"/>
    <s v="Basic"/>
    <n v="0"/>
    <n v="0"/>
    <n v="0"/>
    <n v="0"/>
    <n v="0"/>
    <n v="0"/>
    <n v="0"/>
    <n v="0"/>
    <n v="74.900000000000006"/>
  </r>
  <r>
    <x v="1338"/>
    <d v="2025-04-20T00:00:00"/>
    <x v="1"/>
    <s v="West"/>
    <s v="Desktop"/>
    <s v="Organic"/>
    <s v="Free"/>
    <n v="1"/>
    <n v="0"/>
    <n v="0"/>
    <n v="0"/>
    <n v="0"/>
    <n v="0"/>
    <n v="0"/>
    <n v="0"/>
    <n v="67"/>
  </r>
  <r>
    <x v="1339"/>
    <d v="2025-03-10T00:00:00"/>
    <x v="1"/>
    <s v="South"/>
    <s v="Mobile"/>
    <s v="Email"/>
    <s v="Free"/>
    <n v="0"/>
    <n v="0"/>
    <n v="0"/>
    <n v="0"/>
    <n v="0"/>
    <n v="0"/>
    <n v="0"/>
    <n v="0"/>
    <n v="63.6"/>
  </r>
  <r>
    <x v="1340"/>
    <d v="2025-02-21T00:00:00"/>
    <x v="1"/>
    <s v="South"/>
    <s v="Mobile"/>
    <s v="Email"/>
    <s v="Free"/>
    <n v="1"/>
    <n v="1"/>
    <n v="0"/>
    <n v="0"/>
    <n v="0"/>
    <n v="1"/>
    <n v="0"/>
    <n v="0"/>
    <n v="58.4"/>
  </r>
  <r>
    <x v="1341"/>
    <d v="2025-01-06T00:00:00"/>
    <x v="1"/>
    <s v="North"/>
    <s v="Desktop"/>
    <s v="Social"/>
    <s v="Free"/>
    <n v="1"/>
    <n v="0"/>
    <n v="0"/>
    <n v="0"/>
    <n v="0"/>
    <n v="0"/>
    <n v="0"/>
    <n v="0"/>
    <n v="36.799999999999997"/>
  </r>
  <r>
    <x v="1342"/>
    <d v="2025-04-17T00:00:00"/>
    <x v="1"/>
    <s v="South"/>
    <s v="Mobile"/>
    <s v="Organic"/>
    <s v="Premium"/>
    <n v="1"/>
    <n v="0"/>
    <n v="0"/>
    <n v="0"/>
    <n v="0"/>
    <n v="0"/>
    <n v="0"/>
    <n v="0"/>
    <n v="71.599999999999994"/>
  </r>
  <r>
    <x v="1343"/>
    <d v="2025-05-23T00:00:00"/>
    <x v="1"/>
    <s v="South"/>
    <s v="Mobile"/>
    <s v="Email"/>
    <s v="Basic"/>
    <n v="1"/>
    <n v="1"/>
    <n v="0"/>
    <n v="0"/>
    <n v="0"/>
    <n v="1"/>
    <n v="0"/>
    <n v="0"/>
    <n v="79.7"/>
  </r>
  <r>
    <x v="1344"/>
    <d v="2025-03-14T00:00:00"/>
    <x v="1"/>
    <s v="West"/>
    <s v="Desktop"/>
    <s v="Organic"/>
    <s v="Basic"/>
    <n v="1"/>
    <n v="0"/>
    <n v="0"/>
    <n v="0"/>
    <n v="0"/>
    <n v="1"/>
    <n v="0"/>
    <n v="0"/>
    <n v="56.5"/>
  </r>
  <r>
    <x v="1345"/>
    <d v="2025-04-21T00:00:00"/>
    <x v="1"/>
    <s v="North"/>
    <s v="Mobile"/>
    <s v="Social"/>
    <s v="Premium"/>
    <n v="1"/>
    <n v="0"/>
    <n v="0"/>
    <n v="0"/>
    <n v="0"/>
    <n v="0"/>
    <n v="0"/>
    <n v="0"/>
    <n v="44.7"/>
  </r>
  <r>
    <x v="1346"/>
    <d v="2025-01-03T00:00:00"/>
    <x v="1"/>
    <s v="South"/>
    <s v="Mobile"/>
    <s v="Social"/>
    <s v="Free"/>
    <n v="1"/>
    <n v="1"/>
    <n v="1"/>
    <n v="0"/>
    <n v="0"/>
    <n v="1"/>
    <n v="0"/>
    <n v="0"/>
    <n v="66"/>
  </r>
  <r>
    <x v="1347"/>
    <d v="2025-05-09T00:00:00"/>
    <x v="1"/>
    <s v="North"/>
    <s v="Desktop"/>
    <s v="Organic"/>
    <s v="Basic"/>
    <n v="1"/>
    <n v="0"/>
    <n v="0"/>
    <n v="0"/>
    <n v="0"/>
    <n v="0"/>
    <n v="0"/>
    <n v="0"/>
    <n v="73"/>
  </r>
  <r>
    <x v="1348"/>
    <d v="2025-05-22T00:00:00"/>
    <x v="1"/>
    <s v="South"/>
    <s v="Mobile"/>
    <s v="Organic"/>
    <s v="Basic"/>
    <n v="1"/>
    <n v="1"/>
    <n v="1"/>
    <n v="0"/>
    <n v="0"/>
    <n v="1"/>
    <n v="0"/>
    <n v="0"/>
    <n v="72.5"/>
  </r>
  <r>
    <x v="1349"/>
    <d v="2025-05-07T00:00:00"/>
    <x v="1"/>
    <s v="South"/>
    <s v="Desktop"/>
    <s v="Paid Search"/>
    <s v="Free"/>
    <n v="1"/>
    <n v="1"/>
    <n v="1"/>
    <n v="1"/>
    <n v="323.60000000000002"/>
    <n v="0"/>
    <n v="0"/>
    <n v="6"/>
    <n v="100"/>
  </r>
  <r>
    <x v="1350"/>
    <d v="2025-02-08T00:00:00"/>
    <x v="1"/>
    <s v="East"/>
    <s v="Mobile"/>
    <s v="Social"/>
    <s v="Free"/>
    <n v="0"/>
    <n v="0"/>
    <n v="0"/>
    <n v="0"/>
    <n v="0"/>
    <n v="1"/>
    <n v="0"/>
    <n v="0"/>
    <n v="90.5"/>
  </r>
  <r>
    <x v="1351"/>
    <d v="2025-04-03T00:00:00"/>
    <x v="1"/>
    <s v="North"/>
    <s v="Tablet"/>
    <s v="Social"/>
    <s v="Basic"/>
    <n v="1"/>
    <n v="0"/>
    <n v="0"/>
    <n v="0"/>
    <n v="0"/>
    <n v="0"/>
    <n v="0"/>
    <n v="0"/>
    <n v="70.2"/>
  </r>
  <r>
    <x v="1352"/>
    <d v="2025-04-17T00:00:00"/>
    <x v="1"/>
    <s v="East"/>
    <s v="Desktop"/>
    <s v="Paid Search"/>
    <s v="Free"/>
    <n v="1"/>
    <n v="0"/>
    <n v="0"/>
    <n v="0"/>
    <n v="0"/>
    <n v="1"/>
    <n v="0"/>
    <n v="0"/>
    <n v="67.099999999999994"/>
  </r>
  <r>
    <x v="1353"/>
    <d v="2025-05-04T00:00:00"/>
    <x v="1"/>
    <s v="East"/>
    <s v="Mobile"/>
    <s v="Organic"/>
    <s v="Free"/>
    <n v="0"/>
    <n v="0"/>
    <n v="0"/>
    <n v="0"/>
    <n v="0"/>
    <n v="0"/>
    <n v="0"/>
    <n v="0"/>
    <n v="54.5"/>
  </r>
  <r>
    <x v="1354"/>
    <d v="2025-05-11T00:00:00"/>
    <x v="1"/>
    <s v="West"/>
    <s v="Desktop"/>
    <s v="Organic"/>
    <s v="Free"/>
    <n v="1"/>
    <n v="0"/>
    <n v="0"/>
    <n v="0"/>
    <n v="0"/>
    <n v="0"/>
    <n v="0"/>
    <n v="0"/>
    <n v="63.4"/>
  </r>
  <r>
    <x v="1355"/>
    <d v="2025-03-01T00:00:00"/>
    <x v="1"/>
    <s v="North"/>
    <s v="Desktop"/>
    <s v="Unknown"/>
    <s v="Free"/>
    <n v="1"/>
    <n v="1"/>
    <n v="1"/>
    <n v="0"/>
    <n v="0"/>
    <n v="0"/>
    <n v="0"/>
    <n v="0"/>
    <n v="84.3"/>
  </r>
  <r>
    <x v="1356"/>
    <d v="2025-02-20T00:00:00"/>
    <x v="1"/>
    <s v="West"/>
    <s v="Desktop"/>
    <s v="Organic"/>
    <s v="Free"/>
    <n v="1"/>
    <n v="0"/>
    <n v="0"/>
    <n v="0"/>
    <n v="0"/>
    <n v="1"/>
    <n v="0"/>
    <n v="0"/>
    <n v="55"/>
  </r>
  <r>
    <x v="1357"/>
    <d v="2025-05-09T00:00:00"/>
    <x v="1"/>
    <s v="West"/>
    <s v="Mobile"/>
    <s v="Social"/>
    <s v="Free"/>
    <n v="1"/>
    <n v="0"/>
    <n v="0"/>
    <n v="0"/>
    <n v="0"/>
    <n v="0"/>
    <n v="0"/>
    <n v="0"/>
    <n v="63.6"/>
  </r>
  <r>
    <x v="1358"/>
    <d v="2025-04-30T00:00:00"/>
    <x v="1"/>
    <s v="West"/>
    <s v="Mobile"/>
    <s v="Organic"/>
    <s v="Free"/>
    <n v="1"/>
    <n v="0"/>
    <n v="0"/>
    <n v="0"/>
    <n v="0"/>
    <n v="0"/>
    <n v="0"/>
    <n v="0"/>
    <n v="55.5"/>
  </r>
  <r>
    <x v="1359"/>
    <d v="2025-01-07T00:00:00"/>
    <x v="1"/>
    <s v="South"/>
    <s v="Mobile"/>
    <s v="Social"/>
    <s v="Basic"/>
    <n v="0"/>
    <n v="0"/>
    <n v="0"/>
    <n v="0"/>
    <n v="0"/>
    <n v="0"/>
    <n v="0"/>
    <n v="0"/>
    <n v="50.5"/>
  </r>
  <r>
    <x v="1360"/>
    <d v="2025-04-30T00:00:00"/>
    <x v="1"/>
    <s v="North"/>
    <s v="Mobile"/>
    <s v="Social"/>
    <s v="Basic"/>
    <n v="1"/>
    <n v="0"/>
    <n v="0"/>
    <n v="0"/>
    <n v="0"/>
    <n v="0"/>
    <n v="0"/>
    <n v="0"/>
    <n v="45.3"/>
  </r>
  <r>
    <x v="1361"/>
    <d v="2025-05-23T00:00:00"/>
    <x v="1"/>
    <s v="East"/>
    <s v="Mobile"/>
    <s v="Organic"/>
    <s v="Basic"/>
    <n v="1"/>
    <n v="0"/>
    <n v="0"/>
    <n v="0"/>
    <n v="0"/>
    <n v="0"/>
    <n v="0"/>
    <n v="0"/>
    <n v="33.6"/>
  </r>
  <r>
    <x v="1362"/>
    <d v="2025-03-12T00:00:00"/>
    <x v="1"/>
    <s v="South"/>
    <s v="Mobile"/>
    <s v="Paid Search"/>
    <s v="Premium"/>
    <n v="1"/>
    <n v="1"/>
    <n v="1"/>
    <n v="0"/>
    <n v="0"/>
    <n v="0"/>
    <n v="0"/>
    <n v="0"/>
    <n v="88.2"/>
  </r>
  <r>
    <x v="1363"/>
    <d v="2025-02-17T00:00:00"/>
    <x v="1"/>
    <s v="North"/>
    <s v="Mobile"/>
    <s v="Organic"/>
    <s v="Premium"/>
    <n v="1"/>
    <n v="0"/>
    <n v="0"/>
    <n v="0"/>
    <n v="0"/>
    <n v="0"/>
    <n v="0"/>
    <n v="0"/>
    <n v="51.8"/>
  </r>
  <r>
    <x v="1364"/>
    <d v="2025-05-27T00:00:00"/>
    <x v="1"/>
    <s v="North"/>
    <s v="Desktop"/>
    <s v="Organic"/>
    <s v="Basic"/>
    <n v="0"/>
    <n v="0"/>
    <n v="0"/>
    <n v="0"/>
    <n v="0"/>
    <n v="0"/>
    <n v="0"/>
    <n v="0"/>
    <n v="87.9"/>
  </r>
  <r>
    <x v="1365"/>
    <d v="2025-05-10T00:00:00"/>
    <x v="1"/>
    <s v="South"/>
    <s v="Mobile"/>
    <s v="Social"/>
    <s v="Premium"/>
    <n v="1"/>
    <n v="0"/>
    <n v="0"/>
    <n v="0"/>
    <n v="0"/>
    <n v="2"/>
    <n v="0"/>
    <n v="0"/>
    <n v="70.5"/>
  </r>
  <r>
    <x v="1366"/>
    <d v="2025-01-20T00:00:00"/>
    <x v="1"/>
    <s v="North"/>
    <s v="Mobile"/>
    <s v="Organic"/>
    <s v="Basic"/>
    <n v="1"/>
    <n v="1"/>
    <n v="0"/>
    <n v="0"/>
    <n v="0"/>
    <n v="2"/>
    <n v="0"/>
    <n v="0"/>
    <n v="58.5"/>
  </r>
  <r>
    <x v="1367"/>
    <d v="2025-01-19T00:00:00"/>
    <x v="1"/>
    <s v="East"/>
    <s v="Mobile"/>
    <s v="Referral"/>
    <s v="Free"/>
    <n v="1"/>
    <n v="0"/>
    <n v="0"/>
    <n v="0"/>
    <n v="0"/>
    <n v="0"/>
    <n v="0"/>
    <n v="0"/>
    <n v="65.599999999999994"/>
  </r>
  <r>
    <x v="1368"/>
    <d v="2025-03-07T00:00:00"/>
    <x v="1"/>
    <s v="West"/>
    <s v="Desktop"/>
    <s v="Paid Search"/>
    <s v="Basic"/>
    <n v="1"/>
    <n v="1"/>
    <n v="0"/>
    <n v="0"/>
    <n v="0"/>
    <n v="0"/>
    <n v="0"/>
    <n v="0"/>
    <n v="62.7"/>
  </r>
  <r>
    <x v="1369"/>
    <d v="2025-02-02T00:00:00"/>
    <x v="1"/>
    <s v="East"/>
    <s v="Mobile"/>
    <s v="Organic"/>
    <s v="Free"/>
    <n v="0"/>
    <n v="0"/>
    <n v="0"/>
    <n v="0"/>
    <n v="0"/>
    <n v="1"/>
    <n v="0"/>
    <n v="0"/>
    <n v="50.9"/>
  </r>
  <r>
    <x v="1370"/>
    <d v="2025-03-07T00:00:00"/>
    <x v="1"/>
    <s v="North"/>
    <s v="Mobile"/>
    <s v="Organic"/>
    <s v="Free"/>
    <n v="0"/>
    <n v="0"/>
    <n v="0"/>
    <n v="0"/>
    <n v="0"/>
    <n v="1"/>
    <n v="0"/>
    <n v="0"/>
    <n v="60.6"/>
  </r>
  <r>
    <x v="1371"/>
    <d v="2025-03-30T00:00:00"/>
    <x v="1"/>
    <s v="East"/>
    <s v="Desktop"/>
    <s v="Organic"/>
    <s v="Free"/>
    <n v="1"/>
    <n v="1"/>
    <n v="1"/>
    <n v="0"/>
    <n v="0"/>
    <n v="0"/>
    <n v="0"/>
    <n v="0"/>
    <n v="76.599999999999994"/>
  </r>
  <r>
    <x v="1372"/>
    <d v="2025-05-05T00:00:00"/>
    <x v="1"/>
    <s v="East"/>
    <s v="Desktop"/>
    <s v="Paid Search"/>
    <s v="Free"/>
    <n v="1"/>
    <n v="1"/>
    <n v="1"/>
    <n v="0"/>
    <n v="0"/>
    <n v="0"/>
    <n v="0"/>
    <n v="0"/>
    <n v="54.4"/>
  </r>
  <r>
    <x v="1373"/>
    <d v="2025-04-11T00:00:00"/>
    <x v="1"/>
    <s v="South"/>
    <s v="Mobile"/>
    <s v="Social"/>
    <s v="Free"/>
    <n v="1"/>
    <n v="0"/>
    <n v="0"/>
    <n v="0"/>
    <n v="0"/>
    <n v="0"/>
    <n v="0"/>
    <n v="0"/>
    <n v="31.2"/>
  </r>
  <r>
    <x v="1374"/>
    <d v="2025-03-25T00:00:00"/>
    <x v="1"/>
    <s v="West"/>
    <s v="Desktop"/>
    <s v="Email"/>
    <s v="Premium"/>
    <n v="1"/>
    <n v="0"/>
    <n v="0"/>
    <n v="0"/>
    <n v="0"/>
    <n v="0"/>
    <n v="0"/>
    <n v="0"/>
    <n v="72.400000000000006"/>
  </r>
  <r>
    <x v="1375"/>
    <d v="2025-03-24T00:00:00"/>
    <x v="1"/>
    <s v="North"/>
    <s v="Mobile"/>
    <s v="Organic"/>
    <s v="Premium"/>
    <n v="1"/>
    <n v="0"/>
    <n v="0"/>
    <n v="0"/>
    <n v="0"/>
    <n v="0"/>
    <n v="0"/>
    <n v="0"/>
    <n v="74.5"/>
  </r>
  <r>
    <x v="1376"/>
    <d v="2025-04-27T00:00:00"/>
    <x v="1"/>
    <s v="East"/>
    <s v="Mobile"/>
    <s v="Organic"/>
    <s v="Basic"/>
    <n v="0"/>
    <n v="0"/>
    <n v="0"/>
    <n v="0"/>
    <n v="0"/>
    <n v="0"/>
    <n v="0"/>
    <n v="0"/>
    <n v="52.6"/>
  </r>
  <r>
    <x v="1377"/>
    <d v="2025-01-25T00:00:00"/>
    <x v="1"/>
    <s v="North"/>
    <s v="Desktop"/>
    <s v="Paid Search"/>
    <s v="Free"/>
    <n v="1"/>
    <n v="0"/>
    <n v="0"/>
    <n v="0"/>
    <n v="0"/>
    <n v="0"/>
    <n v="0"/>
    <n v="0"/>
    <n v="75.400000000000006"/>
  </r>
  <r>
    <x v="1378"/>
    <d v="2025-02-17T00:00:00"/>
    <x v="1"/>
    <s v="North"/>
    <s v="Tablet"/>
    <s v="Social"/>
    <s v="Basic"/>
    <n v="1"/>
    <n v="1"/>
    <n v="1"/>
    <n v="1"/>
    <n v="751.33"/>
    <n v="0"/>
    <n v="0"/>
    <n v="9"/>
    <n v="34"/>
  </r>
  <r>
    <x v="1379"/>
    <d v="2025-04-13T00:00:00"/>
    <x v="1"/>
    <s v="South"/>
    <s v="Desktop"/>
    <s v="Organic"/>
    <s v="Free"/>
    <n v="1"/>
    <n v="0"/>
    <n v="0"/>
    <n v="0"/>
    <n v="0"/>
    <n v="0"/>
    <n v="0"/>
    <n v="0"/>
    <n v="67.099999999999994"/>
  </r>
  <r>
    <x v="1380"/>
    <d v="2025-05-03T00:00:00"/>
    <x v="1"/>
    <s v="West"/>
    <s v="Desktop"/>
    <s v="Paid Search"/>
    <s v="Premium"/>
    <n v="1"/>
    <n v="0"/>
    <n v="0"/>
    <n v="0"/>
    <n v="0"/>
    <n v="0"/>
    <n v="0"/>
    <n v="0"/>
    <n v="37.299999999999997"/>
  </r>
  <r>
    <x v="1381"/>
    <d v="2025-04-29T00:00:00"/>
    <x v="1"/>
    <s v="West"/>
    <s v="Mobile"/>
    <s v="Email"/>
    <s v="Free"/>
    <n v="1"/>
    <n v="0"/>
    <n v="0"/>
    <n v="0"/>
    <n v="0"/>
    <n v="0"/>
    <n v="0"/>
    <n v="0"/>
    <n v="54.7"/>
  </r>
  <r>
    <x v="1382"/>
    <d v="2025-05-03T00:00:00"/>
    <x v="1"/>
    <s v="East"/>
    <s v="Desktop"/>
    <s v="Paid Search"/>
    <s v="Free"/>
    <n v="1"/>
    <n v="0"/>
    <n v="0"/>
    <n v="0"/>
    <n v="0"/>
    <n v="0"/>
    <n v="0"/>
    <n v="0"/>
    <n v="51.8"/>
  </r>
  <r>
    <x v="1383"/>
    <d v="2025-04-28T00:00:00"/>
    <x v="1"/>
    <s v="West"/>
    <s v="Mobile"/>
    <s v="Paid Search"/>
    <s v="Free"/>
    <n v="0"/>
    <n v="0"/>
    <n v="0"/>
    <n v="0"/>
    <n v="0"/>
    <n v="0"/>
    <n v="0"/>
    <n v="0"/>
    <n v="49.2"/>
  </r>
  <r>
    <x v="1384"/>
    <d v="2025-01-21T00:00:00"/>
    <x v="1"/>
    <s v="West"/>
    <s v="Mobile"/>
    <s v="Organic"/>
    <s v="Free"/>
    <n v="1"/>
    <n v="0"/>
    <n v="0"/>
    <n v="0"/>
    <n v="0"/>
    <n v="2"/>
    <n v="0"/>
    <n v="0"/>
    <n v="58.8"/>
  </r>
  <r>
    <x v="1385"/>
    <d v="2025-01-21T00:00:00"/>
    <x v="1"/>
    <s v="North"/>
    <s v="Tablet"/>
    <s v="Paid Search"/>
    <s v="Basic"/>
    <n v="0"/>
    <n v="0"/>
    <n v="0"/>
    <n v="0"/>
    <n v="0"/>
    <n v="1"/>
    <n v="0"/>
    <n v="0"/>
    <n v="59.1"/>
  </r>
  <r>
    <x v="1386"/>
    <d v="2025-05-21T00:00:00"/>
    <x v="1"/>
    <s v="West"/>
    <s v="Desktop"/>
    <s v="Paid Search"/>
    <s v="Free"/>
    <n v="1"/>
    <n v="0"/>
    <n v="0"/>
    <n v="0"/>
    <n v="0"/>
    <n v="2"/>
    <n v="0"/>
    <n v="0"/>
    <n v="49.6"/>
  </r>
  <r>
    <x v="1387"/>
    <d v="2025-01-05T00:00:00"/>
    <x v="1"/>
    <s v="North"/>
    <s v="Mobile"/>
    <s v="Referral"/>
    <s v="Free"/>
    <n v="0"/>
    <n v="0"/>
    <n v="0"/>
    <n v="0"/>
    <n v="0"/>
    <n v="0"/>
    <n v="0"/>
    <n v="0"/>
    <n v="58.2"/>
  </r>
  <r>
    <x v="1388"/>
    <d v="2025-03-06T00:00:00"/>
    <x v="1"/>
    <s v="South"/>
    <s v="Desktop"/>
    <s v="Organic"/>
    <s v="Free"/>
    <n v="1"/>
    <n v="0"/>
    <n v="0"/>
    <n v="0"/>
    <n v="0"/>
    <n v="0"/>
    <n v="0"/>
    <n v="0"/>
    <n v="66.8"/>
  </r>
  <r>
    <x v="1389"/>
    <d v="2025-04-18T00:00:00"/>
    <x v="1"/>
    <s v="North"/>
    <s v="Mobile"/>
    <s v="Paid Search"/>
    <s v="Free"/>
    <n v="1"/>
    <n v="0"/>
    <n v="0"/>
    <n v="0"/>
    <n v="0"/>
    <n v="3"/>
    <n v="0"/>
    <n v="0"/>
    <n v="58.3"/>
  </r>
  <r>
    <x v="1390"/>
    <d v="2025-04-15T00:00:00"/>
    <x v="1"/>
    <s v="West"/>
    <s v="Mobile"/>
    <s v="Organic"/>
    <s v="Basic"/>
    <n v="1"/>
    <n v="1"/>
    <n v="1"/>
    <n v="0"/>
    <n v="0"/>
    <n v="0"/>
    <n v="0"/>
    <n v="0"/>
    <n v="38.5"/>
  </r>
  <r>
    <x v="1391"/>
    <d v="2025-02-10T00:00:00"/>
    <x v="1"/>
    <s v="East"/>
    <s v="Mobile"/>
    <s v="Paid Search"/>
    <s v="Free"/>
    <n v="1"/>
    <n v="0"/>
    <n v="0"/>
    <n v="0"/>
    <n v="0"/>
    <n v="0"/>
    <n v="0"/>
    <n v="0"/>
    <n v="76.900000000000006"/>
  </r>
  <r>
    <x v="1392"/>
    <d v="2025-05-08T00:00:00"/>
    <x v="1"/>
    <s v="East"/>
    <s v="Mobile"/>
    <s v="Organic"/>
    <s v="Free"/>
    <n v="1"/>
    <n v="0"/>
    <n v="0"/>
    <n v="0"/>
    <n v="0"/>
    <n v="0"/>
    <n v="0"/>
    <n v="0"/>
    <n v="54"/>
  </r>
  <r>
    <x v="1393"/>
    <d v="2025-05-28T00:00:00"/>
    <x v="1"/>
    <s v="East"/>
    <s v="Tablet"/>
    <s v="Organic"/>
    <s v="Free"/>
    <n v="1"/>
    <n v="0"/>
    <n v="0"/>
    <n v="0"/>
    <n v="0"/>
    <n v="0"/>
    <n v="0"/>
    <n v="0"/>
    <n v="70.599999999999994"/>
  </r>
  <r>
    <x v="1394"/>
    <d v="2025-04-25T00:00:00"/>
    <x v="1"/>
    <s v="North"/>
    <s v="Tablet"/>
    <s v="Referral"/>
    <s v="Premium"/>
    <n v="1"/>
    <n v="1"/>
    <n v="1"/>
    <n v="0"/>
    <n v="0"/>
    <n v="1"/>
    <n v="0"/>
    <n v="0"/>
    <n v="69.400000000000006"/>
  </r>
  <r>
    <x v="1395"/>
    <d v="2025-02-11T00:00:00"/>
    <x v="1"/>
    <s v="South"/>
    <s v="Mobile"/>
    <s v="Unknown"/>
    <s v="Premium"/>
    <n v="1"/>
    <n v="1"/>
    <n v="1"/>
    <n v="1"/>
    <n v="1009.9"/>
    <n v="0"/>
    <n v="0"/>
    <n v="6"/>
    <n v="89.7"/>
  </r>
  <r>
    <x v="1396"/>
    <d v="2025-04-14T00:00:00"/>
    <x v="1"/>
    <s v="West"/>
    <s v="Mobile"/>
    <s v="Organic"/>
    <s v="Free"/>
    <n v="1"/>
    <n v="0"/>
    <n v="0"/>
    <n v="0"/>
    <n v="0"/>
    <n v="0"/>
    <n v="0"/>
    <n v="0"/>
    <n v="62.4"/>
  </r>
  <r>
    <x v="1397"/>
    <d v="2025-02-04T00:00:00"/>
    <x v="1"/>
    <s v="West"/>
    <s v="Tablet"/>
    <s v="Organic"/>
    <s v="Premium"/>
    <n v="0"/>
    <n v="0"/>
    <n v="0"/>
    <n v="0"/>
    <n v="0"/>
    <n v="0"/>
    <n v="0"/>
    <n v="0"/>
    <n v="67.3"/>
  </r>
  <r>
    <x v="1398"/>
    <d v="2025-03-22T00:00:00"/>
    <x v="1"/>
    <s v="East"/>
    <s v="Mobile"/>
    <s v="Referral"/>
    <s v="Free"/>
    <n v="1"/>
    <n v="0"/>
    <n v="0"/>
    <n v="0"/>
    <n v="0"/>
    <n v="0"/>
    <n v="0"/>
    <n v="0"/>
    <n v="54.9"/>
  </r>
  <r>
    <x v="1399"/>
    <d v="2025-04-18T00:00:00"/>
    <x v="1"/>
    <s v="East"/>
    <s v="Desktop"/>
    <s v="Social"/>
    <s v="Free"/>
    <n v="0"/>
    <n v="0"/>
    <n v="0"/>
    <n v="0"/>
    <n v="0"/>
    <n v="0"/>
    <n v="0"/>
    <n v="0"/>
    <n v="55.7"/>
  </r>
  <r>
    <x v="1400"/>
    <d v="2025-02-23T00:00:00"/>
    <x v="1"/>
    <s v="West"/>
    <s v="Desktop"/>
    <s v="Social"/>
    <s v="Basic"/>
    <n v="1"/>
    <n v="1"/>
    <n v="1"/>
    <n v="0"/>
    <n v="0"/>
    <n v="0"/>
    <n v="0"/>
    <n v="0"/>
    <n v="70.599999999999994"/>
  </r>
  <r>
    <x v="1400"/>
    <d v="2025-02-03T00:00:00"/>
    <x v="0"/>
    <s v="North"/>
    <s v="Tablet"/>
    <s v="Email"/>
    <s v="Basic"/>
    <n v="1"/>
    <n v="0"/>
    <n v="0"/>
    <n v="0"/>
    <n v="0"/>
    <n v="0"/>
    <n v="0"/>
    <n v="0"/>
    <n v="60.9"/>
  </r>
  <r>
    <x v="1400"/>
    <d v="2025-05-23T00:00:00"/>
    <x v="1"/>
    <s v="East"/>
    <s v="Mobile"/>
    <s v="Organic"/>
    <s v="Basic"/>
    <n v="1"/>
    <n v="0"/>
    <n v="0"/>
    <n v="0"/>
    <n v="0"/>
    <n v="0"/>
    <n v="0"/>
    <n v="0"/>
    <n v="33.6"/>
  </r>
  <r>
    <x v="1400"/>
    <d v="2025-02-05T00:00:00"/>
    <x v="0"/>
    <s v="East"/>
    <s v="Mobile"/>
    <s v="Social"/>
    <s v="Free"/>
    <n v="0"/>
    <n v="0"/>
    <n v="0"/>
    <n v="0"/>
    <n v="0"/>
    <n v="0"/>
    <n v="0"/>
    <n v="0"/>
    <n v="68"/>
  </r>
  <r>
    <x v="1400"/>
    <d v="2025-02-24T00:00:00"/>
    <x v="1"/>
    <s v="West"/>
    <s v="Mobile"/>
    <s v="Organic"/>
    <s v="Basic"/>
    <n v="1"/>
    <n v="0"/>
    <n v="0"/>
    <n v="0"/>
    <n v="0"/>
    <n v="0"/>
    <n v="0"/>
    <n v="0"/>
    <n v="62"/>
  </r>
  <r>
    <x v="1400"/>
    <d v="2025-03-30T00:00:00"/>
    <x v="1"/>
    <s v="East"/>
    <s v="Mobile"/>
    <s v="Organic"/>
    <s v="Free"/>
    <n v="1"/>
    <n v="1"/>
    <n v="1"/>
    <n v="0"/>
    <n v="0"/>
    <n v="1"/>
    <n v="0"/>
    <n v="0"/>
    <n v="72.5"/>
  </r>
  <r>
    <x v="1400"/>
    <d v="2025-05-16T00:00:00"/>
    <x v="1"/>
    <s v="South"/>
    <s v="Mobile"/>
    <s v="Organic"/>
    <s v="Free"/>
    <n v="1"/>
    <n v="0"/>
    <n v="0"/>
    <n v="0"/>
    <n v="0"/>
    <n v="0"/>
    <n v="0"/>
    <n v="0"/>
    <n v="70.3"/>
  </r>
  <r>
    <x v="1400"/>
    <d v="2025-05-22T00:00:00"/>
    <x v="0"/>
    <s v="North"/>
    <s v="Mobile"/>
    <s v="Paid Search"/>
    <s v="Basic"/>
    <n v="1"/>
    <n v="1"/>
    <n v="0"/>
    <n v="0"/>
    <n v="0"/>
    <n v="0"/>
    <n v="0"/>
    <n v="0"/>
    <n v="39.9"/>
  </r>
  <r>
    <x v="1400"/>
    <m/>
    <x v="2"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9">
  <r>
    <x v="0"/>
    <d v="2025-03-16T00:00:00"/>
    <x v="0"/>
    <s v="North"/>
    <s v="Desktop"/>
    <s v="Email"/>
    <s v="Basic"/>
    <n v="0"/>
    <n v="0"/>
    <n v="0"/>
    <n v="0"/>
    <n v="0"/>
    <n v="0"/>
    <n v="0"/>
    <n v="0"/>
    <n v="45.7"/>
  </r>
  <r>
    <x v="1"/>
    <d v="2025-03-08T00:00:00"/>
    <x v="0"/>
    <s v="West"/>
    <s v="Mobile"/>
    <s v="Organic"/>
    <s v="Free"/>
    <n v="1"/>
    <n v="0"/>
    <n v="0"/>
    <n v="0"/>
    <n v="0"/>
    <n v="0"/>
    <n v="0"/>
    <n v="0"/>
    <n v="48.6"/>
  </r>
  <r>
    <x v="2"/>
    <d v="2025-04-24T00:00:00"/>
    <x v="0"/>
    <s v="East"/>
    <s v="Mobile"/>
    <s v="Paid Search"/>
    <s v="Premium"/>
    <n v="1"/>
    <n v="0"/>
    <n v="0"/>
    <n v="0"/>
    <n v="0"/>
    <n v="1"/>
    <n v="0"/>
    <n v="0"/>
    <n v="35.4"/>
  </r>
  <r>
    <x v="3"/>
    <d v="2025-05-04T00:00:00"/>
    <x v="0"/>
    <s v="South"/>
    <s v="Mobile"/>
    <s v="Email"/>
    <s v="Basic"/>
    <n v="1"/>
    <n v="0"/>
    <n v="0"/>
    <n v="0"/>
    <n v="0"/>
    <n v="0"/>
    <n v="0"/>
    <n v="0"/>
    <n v="64.599999999999994"/>
  </r>
  <r>
    <x v="4"/>
    <d v="2025-02-12T00:00:00"/>
    <x v="0"/>
    <s v="North"/>
    <s v="Tablet"/>
    <s v="Organic"/>
    <s v="Free"/>
    <n v="0"/>
    <n v="0"/>
    <n v="0"/>
    <n v="0"/>
    <n v="0"/>
    <n v="0"/>
    <n v="0"/>
    <n v="0"/>
    <n v="66.599999999999994"/>
  </r>
  <r>
    <x v="5"/>
    <d v="2025-01-28T00:00:00"/>
    <x v="0"/>
    <s v="East"/>
    <s v="Mobile"/>
    <s v="Organic"/>
    <s v="Premium"/>
    <n v="1"/>
    <n v="0"/>
    <n v="0"/>
    <n v="0"/>
    <n v="0"/>
    <n v="0"/>
    <n v="0"/>
    <n v="0"/>
    <n v="40.799999999999997"/>
  </r>
  <r>
    <x v="6"/>
    <d v="2025-04-08T00:00:00"/>
    <x v="0"/>
    <s v="East"/>
    <s v="Mobile"/>
    <s v="Paid Search"/>
    <s v="Basic"/>
    <n v="1"/>
    <n v="1"/>
    <n v="0"/>
    <n v="0"/>
    <n v="0"/>
    <n v="0"/>
    <n v="0"/>
    <n v="0"/>
    <n v="57.1"/>
  </r>
  <r>
    <x v="7"/>
    <d v="2025-05-17T00:00:00"/>
    <x v="0"/>
    <s v="South"/>
    <s v="Mobile"/>
    <s v="Paid Search"/>
    <s v="Free"/>
    <n v="0"/>
    <n v="0"/>
    <n v="0"/>
    <n v="0"/>
    <n v="0"/>
    <n v="0"/>
    <n v="0"/>
    <n v="0"/>
    <n v="36.4"/>
  </r>
  <r>
    <x v="8"/>
    <d v="2025-02-23T00:00:00"/>
    <x v="0"/>
    <s v="South"/>
    <s v="Tablet"/>
    <s v="Referral"/>
    <s v="Basic"/>
    <n v="0"/>
    <n v="0"/>
    <n v="0"/>
    <n v="0"/>
    <n v="0"/>
    <n v="0"/>
    <n v="0"/>
    <n v="0"/>
    <n v="55.4"/>
  </r>
  <r>
    <x v="9"/>
    <d v="2025-05-29T00:00:00"/>
    <x v="0"/>
    <s v="West"/>
    <s v="Desktop"/>
    <s v="Social"/>
    <s v="Free"/>
    <n v="1"/>
    <n v="0"/>
    <n v="0"/>
    <n v="0"/>
    <n v="0"/>
    <n v="0"/>
    <n v="0"/>
    <n v="0"/>
    <n v="57.3"/>
  </r>
  <r>
    <x v="10"/>
    <d v="2025-04-30T00:00:00"/>
    <x v="0"/>
    <s v="East"/>
    <s v="Mobile"/>
    <s v="Paid Search"/>
    <s v="Basic"/>
    <n v="1"/>
    <n v="1"/>
    <n v="1"/>
    <n v="0"/>
    <n v="0"/>
    <n v="0"/>
    <n v="0"/>
    <n v="0"/>
    <n v="63.6"/>
  </r>
  <r>
    <x v="11"/>
    <d v="2025-03-16T00:00:00"/>
    <x v="0"/>
    <s v="East"/>
    <s v="Mobile"/>
    <s v="Social"/>
    <s v="Premium"/>
    <n v="1"/>
    <n v="1"/>
    <n v="1"/>
    <n v="0"/>
    <n v="0"/>
    <n v="1"/>
    <n v="0"/>
    <n v="0"/>
    <n v="80.400000000000006"/>
  </r>
  <r>
    <x v="12"/>
    <d v="2025-02-07T00:00:00"/>
    <x v="0"/>
    <s v="South"/>
    <s v="Desktop"/>
    <s v="Email"/>
    <s v="Basic"/>
    <n v="1"/>
    <n v="0"/>
    <n v="0"/>
    <n v="0"/>
    <n v="0"/>
    <n v="0"/>
    <n v="0"/>
    <n v="0"/>
    <n v="62.4"/>
  </r>
  <r>
    <x v="13"/>
    <d v="2025-03-02T00:00:00"/>
    <x v="0"/>
    <s v="West"/>
    <s v="Mobile"/>
    <s v="Social"/>
    <s v="Basic"/>
    <n v="1"/>
    <n v="0"/>
    <n v="0"/>
    <n v="0"/>
    <n v="0"/>
    <n v="0"/>
    <n v="0"/>
    <n v="0"/>
    <n v="82.4"/>
  </r>
  <r>
    <x v="14"/>
    <d v="2025-05-30T00:00:00"/>
    <x v="0"/>
    <s v="South"/>
    <s v="Mobile"/>
    <s v="Organic"/>
    <s v="Basic"/>
    <n v="0"/>
    <n v="0"/>
    <n v="0"/>
    <n v="0"/>
    <n v="0"/>
    <n v="0"/>
    <n v="0"/>
    <n v="0"/>
    <n v="61.2"/>
  </r>
  <r>
    <x v="15"/>
    <d v="2025-03-25T00:00:00"/>
    <x v="0"/>
    <s v="South"/>
    <s v="Mobile"/>
    <s v="Social"/>
    <s v="Basic"/>
    <n v="1"/>
    <n v="0"/>
    <n v="0"/>
    <n v="0"/>
    <n v="0"/>
    <n v="0"/>
    <n v="0"/>
    <n v="0"/>
    <n v="68.900000000000006"/>
  </r>
  <r>
    <x v="16"/>
    <d v="2025-03-27T00:00:00"/>
    <x v="0"/>
    <s v="East"/>
    <s v="Desktop"/>
    <s v="Paid Search"/>
    <s v="Free"/>
    <n v="1"/>
    <n v="1"/>
    <n v="1"/>
    <n v="0"/>
    <n v="0"/>
    <n v="0"/>
    <n v="0"/>
    <n v="0"/>
    <n v="71.900000000000006"/>
  </r>
  <r>
    <x v="17"/>
    <d v="2025-05-28T00:00:00"/>
    <x v="0"/>
    <s v="South"/>
    <s v="Desktop"/>
    <s v="Paid Search"/>
    <s v="Free"/>
    <n v="0"/>
    <n v="0"/>
    <n v="0"/>
    <n v="0"/>
    <n v="0"/>
    <n v="0"/>
    <n v="0"/>
    <n v="0"/>
    <n v="50.5"/>
  </r>
  <r>
    <x v="18"/>
    <d v="2025-02-15T00:00:00"/>
    <x v="0"/>
    <s v="North"/>
    <s v="Desktop"/>
    <s v="Paid Search"/>
    <s v="Basic"/>
    <n v="0"/>
    <n v="0"/>
    <n v="0"/>
    <n v="0"/>
    <n v="0"/>
    <n v="0"/>
    <n v="0"/>
    <n v="0"/>
    <n v="49.3"/>
  </r>
  <r>
    <x v="19"/>
    <d v="2025-05-05T00:00:00"/>
    <x v="0"/>
    <s v="West"/>
    <s v="Desktop"/>
    <s v="Organic"/>
    <s v="Basic"/>
    <n v="0"/>
    <n v="0"/>
    <n v="0"/>
    <n v="0"/>
    <n v="0"/>
    <n v="2"/>
    <n v="0"/>
    <n v="0"/>
    <n v="60.9"/>
  </r>
  <r>
    <x v="20"/>
    <d v="2025-04-13T00:00:00"/>
    <x v="0"/>
    <s v="East"/>
    <s v="Mobile"/>
    <s v="Social"/>
    <s v="Free"/>
    <n v="1"/>
    <n v="0"/>
    <n v="0"/>
    <n v="0"/>
    <n v="0"/>
    <n v="0"/>
    <n v="0"/>
    <n v="0"/>
    <n v="62.7"/>
  </r>
  <r>
    <x v="21"/>
    <d v="2025-05-07T00:00:00"/>
    <x v="0"/>
    <s v="North"/>
    <s v="Desktop"/>
    <s v="Paid Search"/>
    <s v="Free"/>
    <n v="0"/>
    <n v="0"/>
    <n v="0"/>
    <n v="0"/>
    <n v="0"/>
    <n v="0"/>
    <n v="0"/>
    <n v="0"/>
    <n v="52.7"/>
  </r>
  <r>
    <x v="22"/>
    <d v="2025-05-25T00:00:00"/>
    <x v="0"/>
    <s v="North"/>
    <s v="Desktop"/>
    <s v="Organic"/>
    <s v="Free"/>
    <n v="0"/>
    <n v="0"/>
    <n v="0"/>
    <n v="0"/>
    <n v="0"/>
    <n v="0"/>
    <n v="0"/>
    <n v="0"/>
    <n v="54"/>
  </r>
  <r>
    <x v="23"/>
    <d v="2025-04-01T00:00:00"/>
    <x v="0"/>
    <s v="East"/>
    <s v="Mobile"/>
    <s v="Paid Search"/>
    <s v="Premium"/>
    <n v="1"/>
    <n v="1"/>
    <n v="0"/>
    <n v="0"/>
    <n v="0"/>
    <n v="0"/>
    <n v="0"/>
    <n v="0"/>
    <n v="51.6"/>
  </r>
  <r>
    <x v="24"/>
    <d v="2025-02-22T00:00:00"/>
    <x v="0"/>
    <s v="North"/>
    <s v="Mobile"/>
    <s v="Paid Search"/>
    <s v="Premium"/>
    <n v="0"/>
    <n v="0"/>
    <n v="0"/>
    <n v="0"/>
    <n v="0"/>
    <n v="2"/>
    <n v="0"/>
    <n v="0"/>
    <n v="66.900000000000006"/>
  </r>
  <r>
    <x v="25"/>
    <d v="2025-03-24T00:00:00"/>
    <x v="0"/>
    <s v="East"/>
    <s v="Mobile"/>
    <s v="Organic"/>
    <s v="Basic"/>
    <n v="0"/>
    <n v="0"/>
    <n v="0"/>
    <n v="0"/>
    <n v="0"/>
    <n v="0"/>
    <n v="0"/>
    <n v="0"/>
    <n v="67.400000000000006"/>
  </r>
  <r>
    <x v="26"/>
    <d v="2025-02-13T00:00:00"/>
    <x v="0"/>
    <s v="North"/>
    <s v="Mobile"/>
    <s v="Organic"/>
    <s v="Free"/>
    <n v="0"/>
    <n v="0"/>
    <n v="0"/>
    <n v="0"/>
    <n v="0"/>
    <n v="0"/>
    <n v="0"/>
    <n v="0"/>
    <n v="58.8"/>
  </r>
  <r>
    <x v="27"/>
    <d v="2025-05-30T00:00:00"/>
    <x v="0"/>
    <s v="South"/>
    <s v="Mobile"/>
    <s v="Organic"/>
    <s v="Free"/>
    <n v="1"/>
    <n v="0"/>
    <n v="0"/>
    <n v="0"/>
    <n v="0"/>
    <n v="0"/>
    <n v="0"/>
    <n v="0"/>
    <n v="73.8"/>
  </r>
  <r>
    <x v="28"/>
    <d v="2025-01-20T00:00:00"/>
    <x v="0"/>
    <s v="East"/>
    <s v="Tablet"/>
    <s v="Organic"/>
    <s v="Basic"/>
    <n v="0"/>
    <n v="0"/>
    <n v="0"/>
    <n v="0"/>
    <n v="0"/>
    <n v="0"/>
    <n v="0"/>
    <n v="0"/>
    <n v="60.1"/>
  </r>
  <r>
    <x v="29"/>
    <d v="2025-05-19T00:00:00"/>
    <x v="0"/>
    <s v="East"/>
    <s v="Mobile"/>
    <s v="Social"/>
    <s v="Basic"/>
    <n v="1"/>
    <n v="1"/>
    <n v="1"/>
    <n v="0"/>
    <n v="0"/>
    <n v="0"/>
    <n v="0"/>
    <n v="0"/>
    <n v="41"/>
  </r>
  <r>
    <x v="30"/>
    <d v="2025-02-18T00:00:00"/>
    <x v="0"/>
    <s v="South"/>
    <s v="Mobile"/>
    <s v="Organic"/>
    <s v="Basic"/>
    <n v="1"/>
    <n v="0"/>
    <n v="0"/>
    <n v="0"/>
    <n v="0"/>
    <n v="0"/>
    <n v="0"/>
    <n v="0"/>
    <n v="80.3"/>
  </r>
  <r>
    <x v="31"/>
    <d v="2025-02-13T00:00:00"/>
    <x v="0"/>
    <s v="East"/>
    <s v="Mobile"/>
    <s v="Organic"/>
    <s v="Free"/>
    <n v="0"/>
    <n v="0"/>
    <n v="0"/>
    <n v="0"/>
    <n v="0"/>
    <n v="0"/>
    <n v="0"/>
    <n v="0"/>
    <n v="67.599999999999994"/>
  </r>
  <r>
    <x v="32"/>
    <d v="2025-03-08T00:00:00"/>
    <x v="0"/>
    <s v="East"/>
    <s v="Desktop"/>
    <s v="Referral"/>
    <s v="Premium"/>
    <n v="0"/>
    <n v="0"/>
    <n v="0"/>
    <n v="0"/>
    <n v="0"/>
    <n v="0"/>
    <n v="0"/>
    <n v="0"/>
    <n v="64"/>
  </r>
  <r>
    <x v="33"/>
    <d v="2025-01-11T00:00:00"/>
    <x v="0"/>
    <s v="North"/>
    <s v="Mobile"/>
    <s v="Paid Search"/>
    <s v="Free"/>
    <n v="1"/>
    <n v="1"/>
    <n v="0"/>
    <n v="0"/>
    <n v="0"/>
    <n v="0"/>
    <n v="0"/>
    <n v="0"/>
    <n v="27.2"/>
  </r>
  <r>
    <x v="34"/>
    <d v="2025-02-12T00:00:00"/>
    <x v="0"/>
    <s v="North"/>
    <s v="Desktop"/>
    <s v="Organic"/>
    <s v="Free"/>
    <n v="1"/>
    <n v="0"/>
    <n v="0"/>
    <n v="0"/>
    <n v="0"/>
    <n v="0"/>
    <n v="0"/>
    <n v="0"/>
    <n v="85.4"/>
  </r>
  <r>
    <x v="35"/>
    <d v="2025-04-13T00:00:00"/>
    <x v="0"/>
    <s v="East"/>
    <s v="Desktop"/>
    <s v="Organic"/>
    <s v="Basic"/>
    <n v="1"/>
    <n v="0"/>
    <n v="0"/>
    <n v="0"/>
    <n v="0"/>
    <n v="0"/>
    <n v="0"/>
    <n v="0"/>
    <n v="75.900000000000006"/>
  </r>
  <r>
    <x v="36"/>
    <d v="2025-05-09T00:00:00"/>
    <x v="0"/>
    <s v="East"/>
    <s v="Mobile"/>
    <s v="Organic"/>
    <s v="Premium"/>
    <n v="1"/>
    <n v="0"/>
    <n v="0"/>
    <n v="0"/>
    <n v="0"/>
    <n v="1"/>
    <n v="0"/>
    <n v="0"/>
    <n v="34.799999999999997"/>
  </r>
  <r>
    <x v="37"/>
    <d v="2025-01-20T00:00:00"/>
    <x v="0"/>
    <s v="East"/>
    <s v="Mobile"/>
    <s v="Organic"/>
    <s v="Free"/>
    <n v="1"/>
    <n v="1"/>
    <n v="1"/>
    <n v="0"/>
    <n v="0"/>
    <n v="3"/>
    <n v="0"/>
    <n v="0"/>
    <n v="48.9"/>
  </r>
  <r>
    <x v="38"/>
    <d v="2025-05-13T00:00:00"/>
    <x v="0"/>
    <s v="East"/>
    <s v="Mobile"/>
    <s v="Email"/>
    <s v="Premium"/>
    <n v="1"/>
    <n v="0"/>
    <n v="0"/>
    <n v="0"/>
    <n v="0"/>
    <n v="0"/>
    <n v="0"/>
    <n v="0"/>
    <n v="41.5"/>
  </r>
  <r>
    <x v="39"/>
    <d v="2025-04-07T00:00:00"/>
    <x v="0"/>
    <s v="North"/>
    <s v="Desktop"/>
    <s v="Organic"/>
    <s v="Basic"/>
    <n v="1"/>
    <n v="0"/>
    <n v="0"/>
    <n v="0"/>
    <n v="0"/>
    <n v="0"/>
    <n v="0"/>
    <n v="0"/>
    <n v="51.5"/>
  </r>
  <r>
    <x v="40"/>
    <d v="2025-03-31T00:00:00"/>
    <x v="0"/>
    <s v="North"/>
    <s v="Desktop"/>
    <s v="Organic"/>
    <s v="Free"/>
    <n v="0"/>
    <n v="0"/>
    <n v="0"/>
    <n v="0"/>
    <n v="0"/>
    <n v="0"/>
    <n v="0"/>
    <n v="0"/>
    <n v="53.2"/>
  </r>
  <r>
    <x v="41"/>
    <d v="2025-01-25T00:00:00"/>
    <x v="0"/>
    <s v="East"/>
    <s v="Mobile"/>
    <s v="Email"/>
    <s v="Premium"/>
    <n v="0"/>
    <n v="0"/>
    <n v="0"/>
    <n v="0"/>
    <n v="0"/>
    <n v="0"/>
    <n v="0"/>
    <n v="0"/>
    <n v="55.6"/>
  </r>
  <r>
    <x v="42"/>
    <d v="2025-02-14T00:00:00"/>
    <x v="0"/>
    <s v="South"/>
    <s v="Desktop"/>
    <s v="Organic"/>
    <s v="Free"/>
    <n v="0"/>
    <n v="0"/>
    <n v="0"/>
    <n v="0"/>
    <n v="0"/>
    <n v="0"/>
    <n v="0"/>
    <n v="0"/>
    <n v="73"/>
  </r>
  <r>
    <x v="43"/>
    <d v="2025-02-27T00:00:00"/>
    <x v="0"/>
    <s v="East"/>
    <s v="Mobile"/>
    <s v="Email"/>
    <s v="Free"/>
    <n v="1"/>
    <n v="0"/>
    <n v="0"/>
    <n v="0"/>
    <n v="0"/>
    <n v="0"/>
    <n v="0"/>
    <n v="0"/>
    <n v="65"/>
  </r>
  <r>
    <x v="44"/>
    <d v="2025-03-28T00:00:00"/>
    <x v="0"/>
    <s v="East"/>
    <s v="Mobile"/>
    <s v="Social"/>
    <s v="Free"/>
    <n v="1"/>
    <n v="0"/>
    <n v="0"/>
    <n v="0"/>
    <n v="0"/>
    <n v="4"/>
    <n v="0"/>
    <n v="0"/>
    <n v="56.3"/>
  </r>
  <r>
    <x v="45"/>
    <d v="2025-05-25T00:00:00"/>
    <x v="0"/>
    <s v="East"/>
    <s v="Mobile"/>
    <s v="Referral"/>
    <s v="Premium"/>
    <n v="1"/>
    <n v="0"/>
    <n v="0"/>
    <n v="0"/>
    <n v="0"/>
    <n v="0"/>
    <n v="0"/>
    <n v="0"/>
    <n v="62.4"/>
  </r>
  <r>
    <x v="46"/>
    <d v="2025-05-05T00:00:00"/>
    <x v="0"/>
    <s v="West"/>
    <s v="Desktop"/>
    <s v="Organic"/>
    <s v="Free"/>
    <n v="1"/>
    <n v="1"/>
    <n v="1"/>
    <n v="0"/>
    <n v="0"/>
    <n v="0"/>
    <n v="0"/>
    <n v="0"/>
    <n v="58.1"/>
  </r>
  <r>
    <x v="47"/>
    <d v="2025-05-16T00:00:00"/>
    <x v="0"/>
    <s v="North"/>
    <s v="Mobile"/>
    <s v="Organic"/>
    <s v="Free"/>
    <n v="1"/>
    <n v="1"/>
    <n v="1"/>
    <n v="0"/>
    <n v="0"/>
    <n v="0"/>
    <n v="0"/>
    <n v="0"/>
    <n v="80.8"/>
  </r>
  <r>
    <x v="48"/>
    <d v="2025-01-08T00:00:00"/>
    <x v="0"/>
    <s v="North"/>
    <s v="Mobile"/>
    <s v="Social"/>
    <s v="Free"/>
    <n v="1"/>
    <n v="1"/>
    <n v="0"/>
    <n v="0"/>
    <n v="0"/>
    <n v="0"/>
    <n v="0"/>
    <n v="0"/>
    <n v="42.9"/>
  </r>
  <r>
    <x v="49"/>
    <d v="2025-01-06T00:00:00"/>
    <x v="0"/>
    <s v="West"/>
    <s v="Desktop"/>
    <s v="Paid Search"/>
    <s v="Free"/>
    <n v="1"/>
    <n v="0"/>
    <n v="0"/>
    <n v="0"/>
    <n v="0"/>
    <n v="0"/>
    <n v="0"/>
    <n v="0"/>
    <n v="52.7"/>
  </r>
  <r>
    <x v="50"/>
    <d v="2025-01-12T00:00:00"/>
    <x v="0"/>
    <s v="North"/>
    <s v="Mobile"/>
    <s v="Social"/>
    <s v="Basic"/>
    <n v="0"/>
    <n v="0"/>
    <n v="0"/>
    <n v="0"/>
    <n v="0"/>
    <n v="0"/>
    <n v="0"/>
    <n v="0"/>
    <n v="46.9"/>
  </r>
  <r>
    <x v="51"/>
    <d v="2025-02-14T00:00:00"/>
    <x v="0"/>
    <s v="East"/>
    <s v="Desktop"/>
    <s v="Email"/>
    <s v="Premium"/>
    <n v="1"/>
    <n v="0"/>
    <n v="0"/>
    <n v="0"/>
    <n v="0"/>
    <n v="0"/>
    <n v="0"/>
    <n v="0"/>
    <n v="63"/>
  </r>
  <r>
    <x v="52"/>
    <d v="2025-03-10T00:00:00"/>
    <x v="0"/>
    <s v="South"/>
    <s v="Tablet"/>
    <s v="Organic"/>
    <s v="Free"/>
    <n v="0"/>
    <n v="0"/>
    <n v="0"/>
    <n v="0"/>
    <n v="0"/>
    <n v="0"/>
    <n v="0"/>
    <n v="0"/>
    <n v="53.6"/>
  </r>
  <r>
    <x v="53"/>
    <d v="2025-04-20T00:00:00"/>
    <x v="0"/>
    <s v="West"/>
    <s v="Desktop"/>
    <s v="Organic"/>
    <s v="Basic"/>
    <n v="0"/>
    <n v="0"/>
    <n v="0"/>
    <n v="0"/>
    <n v="0"/>
    <n v="0"/>
    <n v="0"/>
    <n v="0"/>
    <n v="49.6"/>
  </r>
  <r>
    <x v="54"/>
    <d v="2025-02-19T00:00:00"/>
    <x v="0"/>
    <s v="South"/>
    <s v="Mobile"/>
    <s v="Organic"/>
    <s v="Free"/>
    <n v="0"/>
    <n v="0"/>
    <n v="0"/>
    <n v="0"/>
    <n v="0"/>
    <n v="0"/>
    <n v="0"/>
    <n v="0"/>
    <n v="54"/>
  </r>
  <r>
    <x v="55"/>
    <d v="2025-05-17T00:00:00"/>
    <x v="0"/>
    <s v="South"/>
    <s v="Mobile"/>
    <s v="Social"/>
    <s v="Basic"/>
    <n v="1"/>
    <n v="0"/>
    <n v="0"/>
    <n v="0"/>
    <n v="0"/>
    <n v="2"/>
    <n v="0"/>
    <n v="0"/>
    <n v="50"/>
  </r>
  <r>
    <x v="56"/>
    <d v="2025-04-01T00:00:00"/>
    <x v="0"/>
    <s v="East"/>
    <s v="Mobile"/>
    <s v="Social"/>
    <s v="Basic"/>
    <n v="0"/>
    <n v="0"/>
    <n v="0"/>
    <n v="0"/>
    <n v="0"/>
    <n v="0"/>
    <n v="0"/>
    <n v="0"/>
    <n v="48.1"/>
  </r>
  <r>
    <x v="57"/>
    <d v="2025-02-04T00:00:00"/>
    <x v="0"/>
    <s v="North"/>
    <s v="Desktop"/>
    <s v="Organic"/>
    <s v="Free"/>
    <n v="1"/>
    <n v="0"/>
    <n v="0"/>
    <n v="0"/>
    <n v="0"/>
    <n v="0"/>
    <n v="0"/>
    <n v="0"/>
    <n v="49.6"/>
  </r>
  <r>
    <x v="58"/>
    <d v="2025-04-14T00:00:00"/>
    <x v="0"/>
    <s v="North"/>
    <s v="Mobile"/>
    <s v="Social"/>
    <s v="Free"/>
    <n v="0"/>
    <n v="0"/>
    <n v="0"/>
    <n v="0"/>
    <n v="0"/>
    <n v="2"/>
    <n v="0"/>
    <n v="0"/>
    <n v="48.9"/>
  </r>
  <r>
    <x v="59"/>
    <d v="2025-01-01T00:00:00"/>
    <x v="0"/>
    <s v="West"/>
    <s v="Mobile"/>
    <s v="Social"/>
    <s v="Free"/>
    <n v="1"/>
    <n v="1"/>
    <n v="1"/>
    <n v="1"/>
    <n v="240.42"/>
    <n v="0"/>
    <n v="0"/>
    <n v="16"/>
    <n v="56.5"/>
  </r>
  <r>
    <x v="60"/>
    <d v="2025-04-02T00:00:00"/>
    <x v="0"/>
    <s v="South"/>
    <s v="Mobile"/>
    <s v="Referral"/>
    <s v="Free"/>
    <n v="1"/>
    <n v="0"/>
    <n v="0"/>
    <n v="0"/>
    <n v="0"/>
    <n v="0"/>
    <n v="0"/>
    <n v="0"/>
    <n v="53.7"/>
  </r>
  <r>
    <x v="61"/>
    <d v="2025-03-29T00:00:00"/>
    <x v="0"/>
    <s v="North"/>
    <s v="Mobile"/>
    <s v="Social"/>
    <s v="Premium"/>
    <n v="0"/>
    <n v="0"/>
    <n v="0"/>
    <n v="0"/>
    <n v="0"/>
    <n v="0"/>
    <n v="0"/>
    <n v="0"/>
    <n v="62.2"/>
  </r>
  <r>
    <x v="62"/>
    <d v="2025-05-15T00:00:00"/>
    <x v="0"/>
    <s v="South"/>
    <s v="Desktop"/>
    <s v="Organic"/>
    <s v="Free"/>
    <n v="1"/>
    <n v="0"/>
    <n v="0"/>
    <n v="0"/>
    <n v="0"/>
    <n v="0"/>
    <n v="0"/>
    <n v="0"/>
    <n v="50.2"/>
  </r>
  <r>
    <x v="63"/>
    <d v="2025-04-11T00:00:00"/>
    <x v="0"/>
    <s v="North"/>
    <s v="Mobile"/>
    <s v="Organic"/>
    <s v="Basic"/>
    <n v="1"/>
    <n v="0"/>
    <n v="0"/>
    <n v="0"/>
    <n v="0"/>
    <n v="0"/>
    <n v="0"/>
    <n v="0"/>
    <n v="74.3"/>
  </r>
  <r>
    <x v="64"/>
    <d v="2025-03-07T00:00:00"/>
    <x v="0"/>
    <s v="South"/>
    <s v="Desktop"/>
    <s v="Paid Search"/>
    <s v="Free"/>
    <n v="1"/>
    <n v="0"/>
    <n v="0"/>
    <n v="0"/>
    <n v="0"/>
    <n v="0"/>
    <n v="0"/>
    <n v="0"/>
    <n v="58"/>
  </r>
  <r>
    <x v="65"/>
    <d v="2025-05-30T00:00:00"/>
    <x v="0"/>
    <s v="South"/>
    <s v="Mobile"/>
    <s v="Organic"/>
    <s v="Free"/>
    <n v="0"/>
    <n v="0"/>
    <n v="0"/>
    <n v="0"/>
    <n v="0"/>
    <n v="0"/>
    <n v="0"/>
    <n v="0"/>
    <n v="46.7"/>
  </r>
  <r>
    <x v="66"/>
    <d v="2025-01-07T00:00:00"/>
    <x v="0"/>
    <s v="South"/>
    <s v="Desktop"/>
    <s v="Organic"/>
    <s v="Premium"/>
    <n v="1"/>
    <n v="0"/>
    <n v="0"/>
    <n v="0"/>
    <n v="0"/>
    <n v="1"/>
    <n v="0"/>
    <n v="0"/>
    <n v="49.6"/>
  </r>
  <r>
    <x v="67"/>
    <d v="2025-05-08T00:00:00"/>
    <x v="0"/>
    <s v="West"/>
    <s v="Mobile"/>
    <s v="Social"/>
    <s v="Free"/>
    <n v="0"/>
    <n v="0"/>
    <n v="0"/>
    <n v="0"/>
    <n v="0"/>
    <n v="0"/>
    <n v="0"/>
    <n v="0"/>
    <n v="60.4"/>
  </r>
  <r>
    <x v="68"/>
    <d v="2025-03-19T00:00:00"/>
    <x v="0"/>
    <s v="East"/>
    <s v="Desktop"/>
    <s v="Email"/>
    <s v="Free"/>
    <n v="1"/>
    <n v="1"/>
    <n v="1"/>
    <n v="0"/>
    <n v="0"/>
    <n v="0"/>
    <n v="0"/>
    <n v="0"/>
    <n v="55.3"/>
  </r>
  <r>
    <x v="69"/>
    <d v="2025-05-16T00:00:00"/>
    <x v="0"/>
    <s v="North"/>
    <s v="Desktop"/>
    <s v="Organic"/>
    <s v="Free"/>
    <n v="0"/>
    <n v="0"/>
    <n v="0"/>
    <n v="0"/>
    <n v="0"/>
    <n v="0"/>
    <n v="0"/>
    <n v="0"/>
    <n v="56.2"/>
  </r>
  <r>
    <x v="70"/>
    <d v="2025-03-08T00:00:00"/>
    <x v="0"/>
    <s v="West"/>
    <s v="Mobile"/>
    <s v="Email"/>
    <s v="Free"/>
    <n v="0"/>
    <n v="0"/>
    <n v="0"/>
    <n v="0"/>
    <n v="0"/>
    <n v="0"/>
    <n v="0"/>
    <n v="0"/>
    <n v="29.4"/>
  </r>
  <r>
    <x v="71"/>
    <d v="2025-03-08T00:00:00"/>
    <x v="0"/>
    <s v="East"/>
    <s v="Mobile"/>
    <s v="Email"/>
    <s v="Free"/>
    <n v="1"/>
    <n v="0"/>
    <n v="0"/>
    <n v="0"/>
    <n v="0"/>
    <n v="0"/>
    <n v="0"/>
    <n v="0"/>
    <n v="54.2"/>
  </r>
  <r>
    <x v="72"/>
    <d v="2025-01-14T00:00:00"/>
    <x v="0"/>
    <s v="East"/>
    <s v="Desktop"/>
    <s v="Paid Search"/>
    <s v="Basic"/>
    <n v="0"/>
    <n v="0"/>
    <n v="0"/>
    <n v="0"/>
    <n v="0"/>
    <n v="0"/>
    <n v="0"/>
    <n v="0"/>
    <n v="46.4"/>
  </r>
  <r>
    <x v="73"/>
    <d v="2025-02-10T00:00:00"/>
    <x v="0"/>
    <s v="South"/>
    <s v="Mobile"/>
    <s v="Paid Search"/>
    <s v="Basic"/>
    <n v="0"/>
    <n v="0"/>
    <n v="0"/>
    <n v="0"/>
    <n v="0"/>
    <n v="0"/>
    <n v="0"/>
    <n v="0"/>
    <n v="54.5"/>
  </r>
  <r>
    <x v="74"/>
    <d v="2025-03-17T00:00:00"/>
    <x v="0"/>
    <s v="North"/>
    <s v="Mobile"/>
    <s v="Organic"/>
    <s v="Free"/>
    <n v="0"/>
    <n v="0"/>
    <n v="0"/>
    <n v="0"/>
    <n v="0"/>
    <n v="0"/>
    <n v="0"/>
    <n v="0"/>
    <n v="58.5"/>
  </r>
  <r>
    <x v="75"/>
    <d v="2025-01-09T00:00:00"/>
    <x v="0"/>
    <s v="South"/>
    <s v="Mobile"/>
    <s v="Email"/>
    <s v="Free"/>
    <n v="0"/>
    <n v="0"/>
    <n v="0"/>
    <n v="0"/>
    <n v="0"/>
    <n v="0"/>
    <n v="0"/>
    <n v="0"/>
    <n v="75.900000000000006"/>
  </r>
  <r>
    <x v="76"/>
    <d v="2025-04-17T00:00:00"/>
    <x v="0"/>
    <s v="North"/>
    <s v="Mobile"/>
    <s v="Referral"/>
    <s v="Free"/>
    <n v="0"/>
    <n v="0"/>
    <n v="0"/>
    <n v="0"/>
    <n v="0"/>
    <n v="1"/>
    <n v="0"/>
    <n v="0"/>
    <n v="84.9"/>
  </r>
  <r>
    <x v="77"/>
    <d v="2025-01-16T00:00:00"/>
    <x v="0"/>
    <s v="North"/>
    <s v="Mobile"/>
    <s v="Organic"/>
    <s v="Free"/>
    <n v="0"/>
    <n v="0"/>
    <n v="0"/>
    <n v="0"/>
    <n v="0"/>
    <n v="2"/>
    <n v="0"/>
    <n v="0"/>
    <n v="48.4"/>
  </r>
  <r>
    <x v="78"/>
    <d v="2025-02-20T00:00:00"/>
    <x v="0"/>
    <s v="West"/>
    <s v="Desktop"/>
    <s v="Organic"/>
    <s v="Free"/>
    <n v="1"/>
    <n v="1"/>
    <n v="1"/>
    <n v="1"/>
    <n v="457.51"/>
    <n v="0"/>
    <n v="0"/>
    <n v="7"/>
    <n v="38"/>
  </r>
  <r>
    <x v="79"/>
    <d v="2025-05-21T00:00:00"/>
    <x v="0"/>
    <s v="East"/>
    <s v="Mobile"/>
    <s v="Social"/>
    <s v="Free"/>
    <n v="1"/>
    <n v="0"/>
    <n v="0"/>
    <n v="0"/>
    <n v="0"/>
    <n v="0"/>
    <n v="0"/>
    <n v="0"/>
    <n v="44.2"/>
  </r>
  <r>
    <x v="80"/>
    <d v="2025-05-08T00:00:00"/>
    <x v="0"/>
    <s v="South"/>
    <s v="Mobile"/>
    <s v="Organic"/>
    <s v="Free"/>
    <n v="1"/>
    <n v="1"/>
    <n v="1"/>
    <n v="0"/>
    <n v="0"/>
    <n v="0"/>
    <n v="0"/>
    <n v="0"/>
    <n v="81.2"/>
  </r>
  <r>
    <x v="81"/>
    <d v="2025-03-08T00:00:00"/>
    <x v="0"/>
    <s v="South"/>
    <s v="Mobile"/>
    <s v="Referral"/>
    <s v="Free"/>
    <n v="1"/>
    <n v="1"/>
    <n v="0"/>
    <n v="0"/>
    <n v="0"/>
    <n v="0"/>
    <n v="0"/>
    <n v="0"/>
    <n v="63.8"/>
  </r>
  <r>
    <x v="82"/>
    <d v="2025-04-01T00:00:00"/>
    <x v="0"/>
    <s v="South"/>
    <s v="Desktop"/>
    <s v="Email"/>
    <s v="Free"/>
    <n v="0"/>
    <n v="0"/>
    <n v="0"/>
    <n v="0"/>
    <n v="0"/>
    <n v="0"/>
    <n v="0"/>
    <n v="0"/>
    <n v="64.7"/>
  </r>
  <r>
    <x v="83"/>
    <d v="2025-03-03T00:00:00"/>
    <x v="0"/>
    <s v="West"/>
    <s v="Mobile"/>
    <s v="Social"/>
    <s v="Basic"/>
    <n v="0"/>
    <n v="0"/>
    <n v="0"/>
    <n v="0"/>
    <n v="0"/>
    <n v="0"/>
    <n v="0"/>
    <n v="0"/>
    <n v="60.4"/>
  </r>
  <r>
    <x v="84"/>
    <d v="2025-04-16T00:00:00"/>
    <x v="0"/>
    <s v="South"/>
    <s v="Mobile"/>
    <s v="Paid Search"/>
    <s v="Free"/>
    <n v="0"/>
    <n v="0"/>
    <n v="0"/>
    <n v="0"/>
    <n v="0"/>
    <n v="0"/>
    <n v="0"/>
    <n v="0"/>
    <n v="66.599999999999994"/>
  </r>
  <r>
    <x v="85"/>
    <d v="2025-01-09T00:00:00"/>
    <x v="0"/>
    <s v="North"/>
    <s v="Desktop"/>
    <s v="Organic"/>
    <s v="Free"/>
    <n v="1"/>
    <n v="0"/>
    <n v="0"/>
    <n v="0"/>
    <n v="0"/>
    <n v="0"/>
    <n v="0"/>
    <n v="0"/>
    <n v="50.9"/>
  </r>
  <r>
    <x v="86"/>
    <d v="2025-01-22T00:00:00"/>
    <x v="0"/>
    <s v="West"/>
    <s v="Desktop"/>
    <s v="Social"/>
    <s v="Basic"/>
    <n v="0"/>
    <n v="0"/>
    <n v="0"/>
    <n v="0"/>
    <n v="0"/>
    <n v="0"/>
    <n v="0"/>
    <n v="0"/>
    <n v="51"/>
  </r>
  <r>
    <x v="87"/>
    <d v="2025-04-30T00:00:00"/>
    <x v="0"/>
    <s v="South"/>
    <s v="Mobile"/>
    <s v="Email"/>
    <s v="Premium"/>
    <n v="0"/>
    <n v="0"/>
    <n v="0"/>
    <n v="0"/>
    <n v="0"/>
    <n v="0"/>
    <n v="0"/>
    <n v="0"/>
    <n v="65.8"/>
  </r>
  <r>
    <x v="88"/>
    <d v="2025-04-25T00:00:00"/>
    <x v="0"/>
    <s v="North"/>
    <s v="Mobile"/>
    <s v="Referral"/>
    <s v="Basic"/>
    <n v="1"/>
    <n v="0"/>
    <n v="0"/>
    <n v="0"/>
    <n v="0"/>
    <n v="0"/>
    <n v="0"/>
    <n v="0"/>
    <n v="61.8"/>
  </r>
  <r>
    <x v="89"/>
    <d v="2025-02-01T00:00:00"/>
    <x v="0"/>
    <s v="North"/>
    <s v="Mobile"/>
    <s v="Organic"/>
    <s v="Basic"/>
    <n v="1"/>
    <n v="0"/>
    <n v="0"/>
    <n v="0"/>
    <n v="0"/>
    <n v="0"/>
    <n v="0"/>
    <n v="0"/>
    <n v="54.5"/>
  </r>
  <r>
    <x v="90"/>
    <d v="2025-04-23T00:00:00"/>
    <x v="0"/>
    <s v="South"/>
    <s v="Desktop"/>
    <s v="Organic"/>
    <s v="Free"/>
    <n v="1"/>
    <n v="0"/>
    <n v="0"/>
    <n v="0"/>
    <n v="0"/>
    <n v="0"/>
    <n v="0"/>
    <n v="0"/>
    <n v="72.2"/>
  </r>
  <r>
    <x v="91"/>
    <d v="2025-02-27T00:00:00"/>
    <x v="0"/>
    <s v="South"/>
    <s v="Mobile"/>
    <s v="Social"/>
    <s v="Free"/>
    <n v="1"/>
    <n v="0"/>
    <n v="0"/>
    <n v="0"/>
    <n v="0"/>
    <n v="0"/>
    <n v="0"/>
    <n v="0"/>
    <n v="42.3"/>
  </r>
  <r>
    <x v="92"/>
    <d v="2025-04-09T00:00:00"/>
    <x v="0"/>
    <s v="East"/>
    <s v="Desktop"/>
    <s v="Organic"/>
    <s v="Basic"/>
    <n v="1"/>
    <n v="0"/>
    <n v="0"/>
    <n v="0"/>
    <n v="0"/>
    <n v="0"/>
    <n v="0"/>
    <n v="0"/>
    <n v="76.2"/>
  </r>
  <r>
    <x v="93"/>
    <d v="2025-05-13T00:00:00"/>
    <x v="0"/>
    <s v="South"/>
    <s v="Tablet"/>
    <s v="Organic"/>
    <s v="Premium"/>
    <n v="1"/>
    <n v="1"/>
    <n v="1"/>
    <n v="0"/>
    <n v="0"/>
    <n v="1"/>
    <n v="0"/>
    <n v="0"/>
    <n v="37.4"/>
  </r>
  <r>
    <x v="94"/>
    <d v="2025-04-13T00:00:00"/>
    <x v="0"/>
    <s v="East"/>
    <s v="Mobile"/>
    <s v="Organic"/>
    <s v="Free"/>
    <n v="0"/>
    <n v="0"/>
    <n v="0"/>
    <n v="0"/>
    <n v="0"/>
    <n v="0"/>
    <n v="0"/>
    <n v="0"/>
    <n v="84.2"/>
  </r>
  <r>
    <x v="95"/>
    <d v="2025-02-05T00:00:00"/>
    <x v="0"/>
    <s v="East"/>
    <s v="Mobile"/>
    <s v="Social"/>
    <s v="Free"/>
    <n v="0"/>
    <n v="0"/>
    <n v="0"/>
    <n v="0"/>
    <n v="0"/>
    <n v="0"/>
    <n v="0"/>
    <n v="0"/>
    <n v="68"/>
  </r>
  <r>
    <x v="96"/>
    <d v="2025-02-14T00:00:00"/>
    <x v="0"/>
    <s v="West"/>
    <s v="Mobile"/>
    <s v="Organic"/>
    <s v="Basic"/>
    <n v="1"/>
    <n v="0"/>
    <n v="0"/>
    <n v="0"/>
    <n v="0"/>
    <n v="0"/>
    <n v="0"/>
    <n v="0"/>
    <n v="53.5"/>
  </r>
  <r>
    <x v="97"/>
    <d v="2025-02-11T00:00:00"/>
    <x v="0"/>
    <s v="North"/>
    <s v="Desktop"/>
    <s v="Organic"/>
    <s v="Premium"/>
    <n v="1"/>
    <n v="0"/>
    <n v="0"/>
    <n v="0"/>
    <n v="0"/>
    <n v="0"/>
    <n v="0"/>
    <n v="0"/>
    <n v="63.2"/>
  </r>
  <r>
    <x v="98"/>
    <d v="2025-02-11T00:00:00"/>
    <x v="0"/>
    <s v="East"/>
    <s v="Desktop"/>
    <s v="Social"/>
    <s v="Free"/>
    <n v="1"/>
    <n v="1"/>
    <n v="1"/>
    <n v="1"/>
    <n v="363.32"/>
    <n v="0"/>
    <n v="0"/>
    <n v="9"/>
    <n v="55.9"/>
  </r>
  <r>
    <x v="99"/>
    <d v="2025-05-26T00:00:00"/>
    <x v="0"/>
    <s v="North"/>
    <s v="Mobile"/>
    <s v="Organic"/>
    <s v="Free"/>
    <n v="1"/>
    <n v="0"/>
    <n v="0"/>
    <n v="0"/>
    <n v="0"/>
    <n v="0"/>
    <n v="0"/>
    <n v="0"/>
    <n v="63.5"/>
  </r>
  <r>
    <x v="100"/>
    <d v="2025-03-22T00:00:00"/>
    <x v="0"/>
    <s v="North"/>
    <s v="Mobile"/>
    <s v="Paid Search"/>
    <s v="Basic"/>
    <n v="1"/>
    <n v="0"/>
    <n v="0"/>
    <n v="0"/>
    <n v="0"/>
    <n v="0"/>
    <n v="0"/>
    <n v="0"/>
    <n v="51.5"/>
  </r>
  <r>
    <x v="101"/>
    <d v="2025-04-08T00:00:00"/>
    <x v="0"/>
    <s v="West"/>
    <s v="Mobile"/>
    <s v="Paid Search"/>
    <s v="Free"/>
    <n v="1"/>
    <n v="0"/>
    <n v="0"/>
    <n v="0"/>
    <n v="0"/>
    <n v="0"/>
    <n v="0"/>
    <n v="0"/>
    <n v="74.400000000000006"/>
  </r>
  <r>
    <x v="102"/>
    <d v="2025-04-14T00:00:00"/>
    <x v="0"/>
    <s v="North"/>
    <s v="Desktop"/>
    <s v="Social"/>
    <s v="Free"/>
    <n v="1"/>
    <n v="1"/>
    <n v="1"/>
    <n v="1"/>
    <n v="3887.98"/>
    <n v="0"/>
    <n v="0"/>
    <n v="13"/>
    <n v="60.2"/>
  </r>
  <r>
    <x v="103"/>
    <d v="2025-03-27T00:00:00"/>
    <x v="0"/>
    <s v="South"/>
    <s v="Mobile"/>
    <s v="Email"/>
    <s v="Free"/>
    <n v="1"/>
    <n v="0"/>
    <n v="0"/>
    <n v="0"/>
    <n v="0"/>
    <n v="1"/>
    <n v="0"/>
    <n v="0"/>
    <n v="67.2"/>
  </r>
  <r>
    <x v="104"/>
    <d v="2025-01-05T00:00:00"/>
    <x v="0"/>
    <s v="South"/>
    <s v="Mobile"/>
    <s v="Social"/>
    <s v="Free"/>
    <n v="1"/>
    <n v="1"/>
    <n v="1"/>
    <n v="0"/>
    <n v="0"/>
    <n v="0"/>
    <n v="0"/>
    <n v="0"/>
    <n v="79.599999999999994"/>
  </r>
  <r>
    <x v="105"/>
    <d v="2025-01-25T00:00:00"/>
    <x v="0"/>
    <s v="South"/>
    <s v="Mobile"/>
    <s v="Social"/>
    <s v="Basic"/>
    <n v="1"/>
    <n v="1"/>
    <n v="1"/>
    <n v="1"/>
    <n v="8610.7199999999993"/>
    <n v="0"/>
    <n v="0"/>
    <n v="6"/>
    <n v="61"/>
  </r>
  <r>
    <x v="106"/>
    <d v="2025-01-23T00:00:00"/>
    <x v="0"/>
    <s v="West"/>
    <s v="Mobile"/>
    <s v="Email"/>
    <s v="Free"/>
    <n v="1"/>
    <n v="1"/>
    <n v="1"/>
    <n v="0"/>
    <n v="0"/>
    <n v="4"/>
    <n v="0"/>
    <n v="0"/>
    <n v="51.1"/>
  </r>
  <r>
    <x v="107"/>
    <d v="2025-05-25T00:00:00"/>
    <x v="0"/>
    <s v="East"/>
    <s v="Desktop"/>
    <s v="Referral"/>
    <s v="Free"/>
    <n v="1"/>
    <n v="0"/>
    <n v="0"/>
    <n v="0"/>
    <n v="0"/>
    <n v="0"/>
    <n v="0"/>
    <n v="0"/>
    <n v="92.1"/>
  </r>
  <r>
    <x v="108"/>
    <d v="2025-03-22T00:00:00"/>
    <x v="0"/>
    <s v="South"/>
    <s v="Mobile"/>
    <s v="Referral"/>
    <s v="Basic"/>
    <n v="0"/>
    <n v="0"/>
    <n v="0"/>
    <n v="0"/>
    <n v="0"/>
    <n v="0"/>
    <n v="0"/>
    <n v="0"/>
    <n v="82.1"/>
  </r>
  <r>
    <x v="109"/>
    <d v="2025-02-12T00:00:00"/>
    <x v="0"/>
    <s v="West"/>
    <s v="Desktop"/>
    <s v="Paid Search"/>
    <s v="Basic"/>
    <n v="1"/>
    <n v="0"/>
    <n v="0"/>
    <n v="0"/>
    <n v="0"/>
    <n v="1"/>
    <n v="0"/>
    <n v="0"/>
    <n v="74"/>
  </r>
  <r>
    <x v="110"/>
    <d v="2025-04-28T00:00:00"/>
    <x v="0"/>
    <s v="West"/>
    <s v="Desktop"/>
    <s v="Organic"/>
    <s v="Basic"/>
    <n v="1"/>
    <n v="0"/>
    <n v="0"/>
    <n v="0"/>
    <n v="0"/>
    <n v="0"/>
    <n v="0"/>
    <n v="0"/>
    <n v="63.4"/>
  </r>
  <r>
    <x v="111"/>
    <d v="2025-01-30T00:00:00"/>
    <x v="0"/>
    <s v="North"/>
    <s v="Mobile"/>
    <s v="Organic"/>
    <s v="Basic"/>
    <n v="1"/>
    <n v="0"/>
    <n v="0"/>
    <n v="0"/>
    <n v="0"/>
    <n v="0"/>
    <n v="0"/>
    <n v="0"/>
    <n v="53.2"/>
  </r>
  <r>
    <x v="112"/>
    <d v="2025-05-19T00:00:00"/>
    <x v="0"/>
    <s v="East"/>
    <s v="Tablet"/>
    <s v="Paid Search"/>
    <s v="Free"/>
    <n v="0"/>
    <n v="0"/>
    <n v="0"/>
    <n v="0"/>
    <n v="0"/>
    <n v="0"/>
    <n v="0"/>
    <n v="0"/>
    <n v="48.1"/>
  </r>
  <r>
    <x v="113"/>
    <d v="2025-01-23T00:00:00"/>
    <x v="0"/>
    <s v="South"/>
    <s v="Mobile"/>
    <s v="Social"/>
    <s v="Free"/>
    <n v="1"/>
    <n v="1"/>
    <n v="0"/>
    <n v="0"/>
    <n v="0"/>
    <n v="0"/>
    <n v="0"/>
    <n v="0"/>
    <n v="61.5"/>
  </r>
  <r>
    <x v="114"/>
    <d v="2025-03-28T00:00:00"/>
    <x v="0"/>
    <s v="East"/>
    <s v="Desktop"/>
    <s v="Social"/>
    <s v="Free"/>
    <n v="1"/>
    <n v="0"/>
    <n v="0"/>
    <n v="0"/>
    <n v="0"/>
    <n v="0"/>
    <n v="0"/>
    <n v="0"/>
    <n v="63.2"/>
  </r>
  <r>
    <x v="115"/>
    <d v="2025-01-11T00:00:00"/>
    <x v="0"/>
    <s v="West"/>
    <s v="Mobile"/>
    <s v="Organic"/>
    <s v="Free"/>
    <n v="0"/>
    <n v="0"/>
    <n v="0"/>
    <n v="0"/>
    <n v="0"/>
    <n v="0"/>
    <n v="0"/>
    <n v="0"/>
    <n v="71.900000000000006"/>
  </r>
  <r>
    <x v="116"/>
    <d v="2025-04-11T00:00:00"/>
    <x v="0"/>
    <s v="North"/>
    <s v="Mobile"/>
    <s v="Referral"/>
    <s v="Free"/>
    <n v="0"/>
    <n v="0"/>
    <n v="0"/>
    <n v="0"/>
    <n v="0"/>
    <n v="0"/>
    <n v="0"/>
    <n v="0"/>
    <n v="62.7"/>
  </r>
  <r>
    <x v="117"/>
    <d v="2025-01-02T00:00:00"/>
    <x v="0"/>
    <s v="West"/>
    <s v="Mobile"/>
    <s v="Paid Search"/>
    <s v="Free"/>
    <n v="1"/>
    <n v="0"/>
    <n v="0"/>
    <n v="0"/>
    <n v="0"/>
    <n v="0"/>
    <n v="0"/>
    <n v="0"/>
    <n v="51.5"/>
  </r>
  <r>
    <x v="118"/>
    <d v="2025-03-18T00:00:00"/>
    <x v="0"/>
    <s v="East"/>
    <s v="Mobile"/>
    <s v="Social"/>
    <s v="Free"/>
    <n v="1"/>
    <n v="1"/>
    <n v="1"/>
    <n v="0"/>
    <n v="0"/>
    <n v="0"/>
    <n v="0"/>
    <n v="0"/>
    <n v="39.1"/>
  </r>
  <r>
    <x v="119"/>
    <d v="2025-03-31T00:00:00"/>
    <x v="0"/>
    <s v="North"/>
    <s v="Mobile"/>
    <s v="Email"/>
    <s v="Free"/>
    <n v="1"/>
    <n v="0"/>
    <n v="0"/>
    <n v="0"/>
    <n v="0"/>
    <n v="0"/>
    <n v="0"/>
    <n v="0"/>
    <n v="43.8"/>
  </r>
  <r>
    <x v="120"/>
    <d v="2025-01-06T00:00:00"/>
    <x v="0"/>
    <s v="North"/>
    <s v="Mobile"/>
    <s v="Paid Search"/>
    <s v="Basic"/>
    <n v="1"/>
    <n v="0"/>
    <n v="0"/>
    <n v="0"/>
    <n v="0"/>
    <n v="0"/>
    <n v="0"/>
    <n v="0"/>
    <n v="59.9"/>
  </r>
  <r>
    <x v="121"/>
    <d v="2025-01-26T00:00:00"/>
    <x v="0"/>
    <s v="North"/>
    <s v="Mobile"/>
    <s v="Referral"/>
    <s v="Free"/>
    <n v="1"/>
    <n v="1"/>
    <n v="0"/>
    <n v="0"/>
    <n v="0"/>
    <n v="0"/>
    <n v="0"/>
    <n v="0"/>
    <n v="71.400000000000006"/>
  </r>
  <r>
    <x v="122"/>
    <d v="2025-04-22T00:00:00"/>
    <x v="0"/>
    <s v="South"/>
    <s v="Mobile"/>
    <s v="Referral"/>
    <s v="Basic"/>
    <n v="0"/>
    <n v="0"/>
    <n v="0"/>
    <n v="0"/>
    <n v="0"/>
    <n v="0"/>
    <n v="0"/>
    <n v="0"/>
    <n v="36.1"/>
  </r>
  <r>
    <x v="123"/>
    <d v="2025-05-30T00:00:00"/>
    <x v="0"/>
    <s v="West"/>
    <s v="Unknown"/>
    <s v="Email"/>
    <s v="Basic"/>
    <n v="1"/>
    <n v="1"/>
    <n v="0"/>
    <n v="0"/>
    <n v="0"/>
    <n v="0"/>
    <n v="0"/>
    <n v="0"/>
    <n v="47.9"/>
  </r>
  <r>
    <x v="124"/>
    <d v="2025-05-18T00:00:00"/>
    <x v="0"/>
    <s v="West"/>
    <s v="Desktop"/>
    <s v="Organic"/>
    <s v="Premium"/>
    <n v="1"/>
    <n v="0"/>
    <n v="0"/>
    <n v="0"/>
    <n v="0"/>
    <n v="0"/>
    <n v="0"/>
    <n v="0"/>
    <n v="62.5"/>
  </r>
  <r>
    <x v="125"/>
    <d v="2025-01-13T00:00:00"/>
    <x v="0"/>
    <s v="South"/>
    <s v="Desktop"/>
    <s v="Paid Search"/>
    <s v="Premium"/>
    <n v="1"/>
    <n v="0"/>
    <n v="0"/>
    <n v="0"/>
    <n v="0"/>
    <n v="0"/>
    <n v="0"/>
    <n v="0"/>
    <n v="56.9"/>
  </r>
  <r>
    <x v="126"/>
    <d v="2025-03-25T00:00:00"/>
    <x v="0"/>
    <s v="North"/>
    <s v="Desktop"/>
    <s v="Email"/>
    <s v="Free"/>
    <n v="0"/>
    <n v="0"/>
    <n v="0"/>
    <n v="0"/>
    <n v="0"/>
    <n v="0"/>
    <n v="0"/>
    <n v="0"/>
    <n v="64.7"/>
  </r>
  <r>
    <x v="127"/>
    <d v="2025-04-29T00:00:00"/>
    <x v="0"/>
    <s v="South"/>
    <s v="Desktop"/>
    <s v="Organic"/>
    <s v="Free"/>
    <n v="1"/>
    <n v="1"/>
    <n v="1"/>
    <n v="0"/>
    <n v="0"/>
    <n v="0"/>
    <n v="0"/>
    <n v="0"/>
    <n v="64"/>
  </r>
  <r>
    <x v="128"/>
    <d v="2025-05-17T00:00:00"/>
    <x v="0"/>
    <s v="East"/>
    <s v="Mobile"/>
    <s v="Referral"/>
    <s v="Basic"/>
    <n v="1"/>
    <n v="1"/>
    <n v="1"/>
    <n v="0"/>
    <n v="0"/>
    <n v="0"/>
    <n v="0"/>
    <n v="0"/>
    <n v="75.2"/>
  </r>
  <r>
    <x v="129"/>
    <d v="2025-01-02T00:00:00"/>
    <x v="0"/>
    <s v="North"/>
    <s v="Mobile"/>
    <s v="Paid Search"/>
    <s v="Free"/>
    <n v="1"/>
    <n v="0"/>
    <n v="0"/>
    <n v="0"/>
    <n v="0"/>
    <n v="1"/>
    <n v="0"/>
    <n v="0"/>
    <n v="79"/>
  </r>
  <r>
    <x v="130"/>
    <d v="2025-02-03T00:00:00"/>
    <x v="0"/>
    <s v="South"/>
    <s v="Mobile"/>
    <s v="Organic"/>
    <s v="Free"/>
    <n v="0"/>
    <n v="0"/>
    <n v="0"/>
    <n v="0"/>
    <n v="0"/>
    <n v="0"/>
    <n v="0"/>
    <n v="0"/>
    <n v="33"/>
  </r>
  <r>
    <x v="131"/>
    <d v="2025-03-04T00:00:00"/>
    <x v="0"/>
    <s v="East"/>
    <s v="Mobile"/>
    <s v="Organic"/>
    <s v="Free"/>
    <n v="1"/>
    <n v="0"/>
    <n v="0"/>
    <n v="0"/>
    <n v="0"/>
    <n v="0"/>
    <n v="0"/>
    <n v="0"/>
    <n v="67.900000000000006"/>
  </r>
  <r>
    <x v="132"/>
    <d v="2025-01-26T00:00:00"/>
    <x v="0"/>
    <s v="South"/>
    <s v="Mobile"/>
    <s v="Paid Search"/>
    <s v="Basic"/>
    <n v="0"/>
    <n v="0"/>
    <n v="0"/>
    <n v="0"/>
    <n v="0"/>
    <n v="0"/>
    <n v="0"/>
    <n v="0"/>
    <n v="42.2"/>
  </r>
  <r>
    <x v="133"/>
    <d v="2025-05-12T00:00:00"/>
    <x v="0"/>
    <s v="West"/>
    <s v="Mobile"/>
    <s v="Paid Search"/>
    <s v="Basic"/>
    <n v="1"/>
    <n v="1"/>
    <n v="1"/>
    <n v="0"/>
    <n v="0"/>
    <n v="0"/>
    <n v="0"/>
    <n v="0"/>
    <n v="43.4"/>
  </r>
  <r>
    <x v="134"/>
    <d v="2025-03-06T00:00:00"/>
    <x v="0"/>
    <s v="North"/>
    <s v="Mobile"/>
    <s v="Organic"/>
    <s v="Basic"/>
    <n v="0"/>
    <n v="0"/>
    <n v="0"/>
    <n v="0"/>
    <n v="0"/>
    <n v="0"/>
    <n v="0"/>
    <n v="0"/>
    <n v="54.4"/>
  </r>
  <r>
    <x v="135"/>
    <d v="2025-03-10T00:00:00"/>
    <x v="0"/>
    <s v="South"/>
    <s v="Desktop"/>
    <s v="Email"/>
    <s v="Premium"/>
    <n v="0"/>
    <n v="0"/>
    <n v="0"/>
    <n v="0"/>
    <n v="0"/>
    <n v="0"/>
    <n v="0"/>
    <n v="0"/>
    <n v="45.7"/>
  </r>
  <r>
    <x v="136"/>
    <d v="2025-05-06T00:00:00"/>
    <x v="0"/>
    <s v="North"/>
    <s v="Mobile"/>
    <s v="Paid Search"/>
    <s v="Free"/>
    <n v="0"/>
    <n v="0"/>
    <n v="0"/>
    <n v="0"/>
    <n v="0"/>
    <n v="3"/>
    <n v="0"/>
    <n v="0"/>
    <n v="32"/>
  </r>
  <r>
    <x v="137"/>
    <d v="2025-02-23T00:00:00"/>
    <x v="0"/>
    <s v="South"/>
    <s v="Desktop"/>
    <s v="Paid Search"/>
    <s v="Free"/>
    <n v="1"/>
    <n v="0"/>
    <n v="0"/>
    <n v="0"/>
    <n v="0"/>
    <n v="0"/>
    <n v="0"/>
    <n v="0"/>
    <n v="70.900000000000006"/>
  </r>
  <r>
    <x v="138"/>
    <d v="2025-01-29T00:00:00"/>
    <x v="0"/>
    <s v="West"/>
    <s v="Mobile"/>
    <s v="Social"/>
    <s v="Basic"/>
    <n v="1"/>
    <n v="1"/>
    <n v="1"/>
    <n v="0"/>
    <n v="0"/>
    <n v="0"/>
    <n v="0"/>
    <n v="0"/>
    <n v="59.1"/>
  </r>
  <r>
    <x v="139"/>
    <d v="2025-01-31T00:00:00"/>
    <x v="0"/>
    <s v="North"/>
    <s v="Mobile"/>
    <s v="Organic"/>
    <s v="Basic"/>
    <n v="0"/>
    <n v="0"/>
    <n v="0"/>
    <n v="0"/>
    <n v="0"/>
    <n v="0"/>
    <n v="0"/>
    <n v="0"/>
    <n v="62.4"/>
  </r>
  <r>
    <x v="140"/>
    <d v="2025-01-19T00:00:00"/>
    <x v="0"/>
    <s v="South"/>
    <s v="Mobile"/>
    <s v="Organic"/>
    <s v="Free"/>
    <n v="0"/>
    <n v="0"/>
    <n v="0"/>
    <n v="0"/>
    <n v="0"/>
    <n v="0"/>
    <n v="0"/>
    <n v="0"/>
    <n v="49.6"/>
  </r>
  <r>
    <x v="141"/>
    <d v="2025-04-03T00:00:00"/>
    <x v="0"/>
    <s v="West"/>
    <s v="Desktop"/>
    <s v="Social"/>
    <s v="Free"/>
    <n v="1"/>
    <n v="1"/>
    <n v="1"/>
    <n v="1"/>
    <n v="404.4"/>
    <n v="0"/>
    <n v="0"/>
    <n v="9"/>
    <n v="80.599999999999994"/>
  </r>
  <r>
    <x v="142"/>
    <d v="2025-04-07T00:00:00"/>
    <x v="0"/>
    <s v="North"/>
    <s v="Mobile"/>
    <s v="Paid Search"/>
    <s v="Free"/>
    <n v="1"/>
    <n v="0"/>
    <n v="0"/>
    <n v="0"/>
    <n v="0"/>
    <n v="0"/>
    <n v="0"/>
    <n v="0"/>
    <n v="47.9"/>
  </r>
  <r>
    <x v="143"/>
    <d v="2025-01-06T00:00:00"/>
    <x v="0"/>
    <s v="East"/>
    <s v="Mobile"/>
    <s v="Paid Search"/>
    <s v="Basic"/>
    <n v="1"/>
    <n v="1"/>
    <n v="0"/>
    <n v="0"/>
    <n v="0"/>
    <n v="0"/>
    <n v="0"/>
    <n v="0"/>
    <n v="54.8"/>
  </r>
  <r>
    <x v="144"/>
    <d v="2025-04-11T00:00:00"/>
    <x v="0"/>
    <s v="East"/>
    <s v="Mobile"/>
    <s v="Organic"/>
    <s v="Free"/>
    <n v="1"/>
    <n v="0"/>
    <n v="0"/>
    <n v="0"/>
    <n v="0"/>
    <n v="1"/>
    <n v="0"/>
    <n v="0"/>
    <n v="53.9"/>
  </r>
  <r>
    <x v="145"/>
    <d v="2025-04-23T00:00:00"/>
    <x v="0"/>
    <s v="East"/>
    <s v="Mobile"/>
    <s v="Paid Search"/>
    <s v="Free"/>
    <n v="1"/>
    <n v="0"/>
    <n v="0"/>
    <n v="0"/>
    <n v="0"/>
    <n v="0"/>
    <n v="0"/>
    <n v="0"/>
    <n v="41.3"/>
  </r>
  <r>
    <x v="146"/>
    <d v="2025-03-25T00:00:00"/>
    <x v="0"/>
    <s v="West"/>
    <s v="Mobile"/>
    <s v="Organic"/>
    <s v="Basic"/>
    <n v="1"/>
    <n v="1"/>
    <n v="0"/>
    <n v="0"/>
    <n v="0"/>
    <n v="0"/>
    <n v="0"/>
    <n v="0"/>
    <n v="38.9"/>
  </r>
  <r>
    <x v="147"/>
    <d v="2025-05-25T00:00:00"/>
    <x v="0"/>
    <s v="South"/>
    <s v="Desktop"/>
    <s v="Organic"/>
    <s v="Basic"/>
    <n v="1"/>
    <n v="0"/>
    <n v="0"/>
    <n v="0"/>
    <n v="0"/>
    <n v="0"/>
    <n v="0"/>
    <n v="0"/>
    <n v="63.6"/>
  </r>
  <r>
    <x v="148"/>
    <d v="2025-01-28T00:00:00"/>
    <x v="0"/>
    <s v="North"/>
    <s v="Mobile"/>
    <s v="Organic"/>
    <s v="Free"/>
    <n v="1"/>
    <n v="1"/>
    <n v="1"/>
    <n v="1"/>
    <n v="577.94000000000005"/>
    <n v="0"/>
    <n v="0"/>
    <n v="9"/>
    <n v="76.599999999999994"/>
  </r>
  <r>
    <x v="149"/>
    <d v="2025-02-12T00:00:00"/>
    <x v="0"/>
    <s v="West"/>
    <s v="Mobile"/>
    <s v="Paid Search"/>
    <s v="Premium"/>
    <n v="0"/>
    <n v="0"/>
    <n v="0"/>
    <n v="0"/>
    <n v="0"/>
    <n v="1"/>
    <n v="0"/>
    <n v="0"/>
    <n v="67.599999999999994"/>
  </r>
  <r>
    <x v="150"/>
    <d v="2025-04-29T00:00:00"/>
    <x v="0"/>
    <s v="North"/>
    <s v="Mobile"/>
    <s v="Social"/>
    <s v="Premium"/>
    <n v="1"/>
    <n v="0"/>
    <n v="0"/>
    <n v="0"/>
    <n v="0"/>
    <n v="0"/>
    <n v="0"/>
    <n v="0"/>
    <n v="43.1"/>
  </r>
  <r>
    <x v="151"/>
    <d v="2025-03-13T00:00:00"/>
    <x v="0"/>
    <s v="South"/>
    <s v="Mobile"/>
    <s v="Email"/>
    <s v="Free"/>
    <n v="1"/>
    <n v="0"/>
    <n v="0"/>
    <n v="0"/>
    <n v="0"/>
    <n v="0"/>
    <n v="0"/>
    <n v="0"/>
    <n v="58.3"/>
  </r>
  <r>
    <x v="152"/>
    <d v="2025-02-04T00:00:00"/>
    <x v="0"/>
    <s v="East"/>
    <s v="Desktop"/>
    <s v="Paid Search"/>
    <s v="Free"/>
    <n v="1"/>
    <n v="0"/>
    <n v="0"/>
    <n v="0"/>
    <n v="0"/>
    <n v="0"/>
    <n v="0"/>
    <n v="0"/>
    <n v="69.8"/>
  </r>
  <r>
    <x v="153"/>
    <d v="2025-03-04T00:00:00"/>
    <x v="0"/>
    <s v="South"/>
    <s v="Mobile"/>
    <s v="Referral"/>
    <s v="Free"/>
    <n v="1"/>
    <n v="1"/>
    <n v="0"/>
    <n v="0"/>
    <n v="0"/>
    <n v="0"/>
    <n v="0"/>
    <n v="0"/>
    <n v="0"/>
  </r>
  <r>
    <x v="154"/>
    <d v="2025-02-04T00:00:00"/>
    <x v="0"/>
    <s v="West"/>
    <s v="Mobile"/>
    <s v="Paid Search"/>
    <s v="Basic"/>
    <n v="1"/>
    <n v="1"/>
    <n v="0"/>
    <n v="0"/>
    <n v="0"/>
    <n v="0"/>
    <n v="0"/>
    <n v="0"/>
    <n v="41.9"/>
  </r>
  <r>
    <x v="155"/>
    <d v="2025-03-11T00:00:00"/>
    <x v="0"/>
    <s v="North"/>
    <s v="Desktop"/>
    <s v="Organic"/>
    <s v="Free"/>
    <n v="0"/>
    <n v="0"/>
    <n v="0"/>
    <n v="0"/>
    <n v="0"/>
    <n v="0"/>
    <n v="0"/>
    <n v="0"/>
    <n v="33.1"/>
  </r>
  <r>
    <x v="156"/>
    <d v="2025-04-22T00:00:00"/>
    <x v="0"/>
    <s v="West"/>
    <s v="Mobile"/>
    <s v="Organic"/>
    <s v="Free"/>
    <n v="0"/>
    <n v="0"/>
    <n v="0"/>
    <n v="0"/>
    <n v="0"/>
    <n v="0"/>
    <n v="0"/>
    <n v="0"/>
    <n v="58.6"/>
  </r>
  <r>
    <x v="157"/>
    <d v="2025-03-08T00:00:00"/>
    <x v="0"/>
    <s v="North"/>
    <s v="Desktop"/>
    <s v="Paid Search"/>
    <s v="Free"/>
    <n v="0"/>
    <n v="0"/>
    <n v="0"/>
    <n v="0"/>
    <n v="0"/>
    <n v="0"/>
    <n v="0"/>
    <n v="0"/>
    <n v="55.7"/>
  </r>
  <r>
    <x v="158"/>
    <d v="2025-03-10T00:00:00"/>
    <x v="0"/>
    <s v="East"/>
    <s v="Mobile"/>
    <s v="Organic"/>
    <s v="Free"/>
    <n v="0"/>
    <n v="0"/>
    <n v="0"/>
    <n v="0"/>
    <n v="0"/>
    <n v="2"/>
    <n v="0"/>
    <n v="0"/>
    <n v="64.900000000000006"/>
  </r>
  <r>
    <x v="159"/>
    <d v="2025-05-18T00:00:00"/>
    <x v="0"/>
    <s v="North"/>
    <s v="Desktop"/>
    <s v="Paid Search"/>
    <s v="Basic"/>
    <n v="0"/>
    <n v="0"/>
    <n v="0"/>
    <n v="0"/>
    <n v="0"/>
    <n v="0"/>
    <n v="0"/>
    <n v="0"/>
    <n v="72.3"/>
  </r>
  <r>
    <x v="160"/>
    <d v="2025-05-14T00:00:00"/>
    <x v="0"/>
    <s v="North"/>
    <s v="Mobile"/>
    <s v="Social"/>
    <s v="Basic"/>
    <n v="0"/>
    <n v="0"/>
    <n v="0"/>
    <n v="0"/>
    <n v="0"/>
    <n v="0"/>
    <n v="0"/>
    <n v="0"/>
    <n v="42.1"/>
  </r>
  <r>
    <x v="161"/>
    <d v="2025-02-01T00:00:00"/>
    <x v="0"/>
    <s v="North"/>
    <s v="Mobile"/>
    <s v="Organic"/>
    <s v="Free"/>
    <n v="0"/>
    <n v="0"/>
    <n v="0"/>
    <n v="0"/>
    <n v="0"/>
    <n v="0"/>
    <n v="0"/>
    <n v="0"/>
    <n v="0"/>
  </r>
  <r>
    <x v="162"/>
    <d v="2025-04-11T00:00:00"/>
    <x v="0"/>
    <s v="South"/>
    <s v="Mobile"/>
    <s v="Organic"/>
    <s v="Basic"/>
    <n v="0"/>
    <n v="0"/>
    <n v="0"/>
    <n v="0"/>
    <n v="0"/>
    <n v="1"/>
    <n v="0"/>
    <n v="0"/>
    <n v="64.8"/>
  </r>
  <r>
    <x v="163"/>
    <d v="2025-02-14T00:00:00"/>
    <x v="0"/>
    <s v="East"/>
    <s v="Mobile"/>
    <s v="Organic"/>
    <s v="Free"/>
    <n v="0"/>
    <n v="0"/>
    <n v="0"/>
    <n v="0"/>
    <n v="0"/>
    <n v="0"/>
    <n v="0"/>
    <n v="0"/>
    <n v="72.099999999999994"/>
  </r>
  <r>
    <x v="164"/>
    <d v="2025-05-19T00:00:00"/>
    <x v="0"/>
    <s v="East"/>
    <s v="Mobile"/>
    <s v="Social"/>
    <s v="Free"/>
    <n v="1"/>
    <n v="0"/>
    <n v="0"/>
    <n v="0"/>
    <n v="0"/>
    <n v="0"/>
    <n v="0"/>
    <n v="0"/>
    <n v="50.6"/>
  </r>
  <r>
    <x v="165"/>
    <d v="2025-04-26T00:00:00"/>
    <x v="0"/>
    <s v="North"/>
    <s v="Desktop"/>
    <s v="Paid Search"/>
    <s v="Basic"/>
    <n v="1"/>
    <n v="1"/>
    <n v="1"/>
    <n v="1"/>
    <n v="1281.25"/>
    <n v="1"/>
    <n v="0"/>
    <n v="9"/>
    <n v="43.4"/>
  </r>
  <r>
    <x v="166"/>
    <d v="2025-04-06T00:00:00"/>
    <x v="0"/>
    <s v="South"/>
    <s v="Mobile"/>
    <s v="Social"/>
    <s v="Free"/>
    <n v="1"/>
    <n v="0"/>
    <n v="0"/>
    <n v="0"/>
    <n v="0"/>
    <n v="0"/>
    <n v="0"/>
    <n v="0"/>
    <n v="59.7"/>
  </r>
  <r>
    <x v="167"/>
    <d v="2025-03-06T00:00:00"/>
    <x v="0"/>
    <s v="South"/>
    <s v="Mobile"/>
    <s v="Paid Search"/>
    <s v="Free"/>
    <n v="1"/>
    <n v="0"/>
    <n v="0"/>
    <n v="0"/>
    <n v="0"/>
    <n v="1"/>
    <n v="0"/>
    <n v="0"/>
    <n v="0"/>
  </r>
  <r>
    <x v="168"/>
    <d v="2025-03-10T00:00:00"/>
    <x v="0"/>
    <s v="West"/>
    <s v="Mobile"/>
    <s v="Social"/>
    <s v="Basic"/>
    <n v="0"/>
    <n v="0"/>
    <n v="0"/>
    <n v="0"/>
    <n v="0"/>
    <n v="0"/>
    <n v="0"/>
    <n v="0"/>
    <n v="54.5"/>
  </r>
  <r>
    <x v="169"/>
    <d v="2025-03-30T00:00:00"/>
    <x v="0"/>
    <s v="North"/>
    <s v="Mobile"/>
    <s v="Organic"/>
    <s v="Free"/>
    <n v="1"/>
    <n v="0"/>
    <n v="0"/>
    <n v="0"/>
    <n v="0"/>
    <n v="0"/>
    <n v="0"/>
    <n v="0"/>
    <n v="71.099999999999994"/>
  </r>
  <r>
    <x v="170"/>
    <d v="2025-05-29T00:00:00"/>
    <x v="0"/>
    <s v="East"/>
    <s v="Unknown"/>
    <s v="Paid Search"/>
    <s v="Free"/>
    <n v="1"/>
    <n v="1"/>
    <n v="1"/>
    <n v="0"/>
    <n v="0"/>
    <n v="0"/>
    <n v="0"/>
    <n v="0"/>
    <n v="44.4"/>
  </r>
  <r>
    <x v="171"/>
    <d v="2025-03-23T00:00:00"/>
    <x v="0"/>
    <s v="North"/>
    <s v="Mobile"/>
    <s v="Organic"/>
    <s v="Free"/>
    <n v="1"/>
    <n v="0"/>
    <n v="0"/>
    <n v="0"/>
    <n v="0"/>
    <n v="0"/>
    <n v="0"/>
    <n v="0"/>
    <n v="61.7"/>
  </r>
  <r>
    <x v="172"/>
    <d v="2025-02-18T00:00:00"/>
    <x v="0"/>
    <s v="North"/>
    <s v="Tablet"/>
    <s v="Organic"/>
    <s v="Basic"/>
    <n v="0"/>
    <n v="0"/>
    <n v="0"/>
    <n v="0"/>
    <n v="0"/>
    <n v="1"/>
    <n v="0"/>
    <n v="0"/>
    <n v="81.3"/>
  </r>
  <r>
    <x v="173"/>
    <d v="2025-01-26T00:00:00"/>
    <x v="0"/>
    <s v="North"/>
    <s v="Desktop"/>
    <s v="Email"/>
    <s v="Free"/>
    <n v="1"/>
    <n v="0"/>
    <n v="0"/>
    <n v="0"/>
    <n v="0"/>
    <n v="2"/>
    <n v="0"/>
    <n v="0"/>
    <n v="28.7"/>
  </r>
  <r>
    <x v="174"/>
    <d v="2025-04-23T00:00:00"/>
    <x v="0"/>
    <s v="East"/>
    <s v="Mobile"/>
    <s v="Social"/>
    <s v="Basic"/>
    <n v="0"/>
    <n v="0"/>
    <n v="0"/>
    <n v="0"/>
    <n v="0"/>
    <n v="0"/>
    <n v="0"/>
    <n v="0"/>
    <n v="53"/>
  </r>
  <r>
    <x v="175"/>
    <d v="2025-03-16T00:00:00"/>
    <x v="0"/>
    <s v="South"/>
    <s v="Tablet"/>
    <s v="Referral"/>
    <s v="Basic"/>
    <n v="1"/>
    <n v="0"/>
    <n v="0"/>
    <n v="0"/>
    <n v="0"/>
    <n v="0"/>
    <n v="0"/>
    <n v="0"/>
    <n v="54.9"/>
  </r>
  <r>
    <x v="176"/>
    <d v="2025-04-29T00:00:00"/>
    <x v="0"/>
    <s v="West"/>
    <s v="Mobile"/>
    <s v="Organic"/>
    <s v="Basic"/>
    <n v="1"/>
    <n v="0"/>
    <n v="0"/>
    <n v="0"/>
    <n v="0"/>
    <n v="0"/>
    <n v="0"/>
    <n v="0"/>
    <n v="58.2"/>
  </r>
  <r>
    <x v="177"/>
    <d v="2025-04-06T00:00:00"/>
    <x v="0"/>
    <s v="North"/>
    <s v="Mobile"/>
    <s v="Organic"/>
    <s v="Free"/>
    <n v="0"/>
    <n v="0"/>
    <n v="0"/>
    <n v="0"/>
    <n v="0"/>
    <n v="0"/>
    <n v="0"/>
    <n v="0"/>
    <n v="80.599999999999994"/>
  </r>
  <r>
    <x v="178"/>
    <d v="2025-04-17T00:00:00"/>
    <x v="0"/>
    <s v="North"/>
    <s v="Desktop"/>
    <s v="Referral"/>
    <s v="Premium"/>
    <n v="1"/>
    <n v="1"/>
    <n v="1"/>
    <n v="0"/>
    <n v="0"/>
    <n v="0"/>
    <n v="0"/>
    <n v="0"/>
    <n v="38.4"/>
  </r>
  <r>
    <x v="179"/>
    <d v="2025-04-03T00:00:00"/>
    <x v="0"/>
    <s v="South"/>
    <s v="Mobile"/>
    <s v="Paid Search"/>
    <s v="Free"/>
    <n v="1"/>
    <n v="0"/>
    <n v="0"/>
    <n v="0"/>
    <n v="0"/>
    <n v="0"/>
    <n v="0"/>
    <n v="0"/>
    <n v="56.1"/>
  </r>
  <r>
    <x v="180"/>
    <d v="2025-04-25T00:00:00"/>
    <x v="0"/>
    <s v="West"/>
    <s v="Mobile"/>
    <s v="Paid Search"/>
    <s v="Free"/>
    <n v="0"/>
    <n v="0"/>
    <n v="0"/>
    <n v="0"/>
    <n v="0"/>
    <n v="0"/>
    <n v="0"/>
    <n v="0"/>
    <n v="62.6"/>
  </r>
  <r>
    <x v="181"/>
    <d v="2025-04-30T00:00:00"/>
    <x v="0"/>
    <s v="South"/>
    <s v="Mobile"/>
    <s v="Organic"/>
    <s v="Premium"/>
    <n v="0"/>
    <n v="0"/>
    <n v="0"/>
    <n v="0"/>
    <n v="0"/>
    <n v="0"/>
    <n v="0"/>
    <n v="0"/>
    <n v="36.299999999999997"/>
  </r>
  <r>
    <x v="182"/>
    <d v="2025-03-12T00:00:00"/>
    <x v="0"/>
    <s v="South"/>
    <s v="Mobile"/>
    <s v="Paid Search"/>
    <s v="Free"/>
    <n v="1"/>
    <n v="0"/>
    <n v="0"/>
    <n v="0"/>
    <n v="0"/>
    <n v="0"/>
    <n v="0"/>
    <n v="0"/>
    <n v="52.1"/>
  </r>
  <r>
    <x v="183"/>
    <d v="2025-05-04T00:00:00"/>
    <x v="0"/>
    <s v="South"/>
    <s v="Mobile"/>
    <s v="Organic"/>
    <s v="Free"/>
    <n v="1"/>
    <n v="0"/>
    <n v="0"/>
    <n v="0"/>
    <n v="0"/>
    <n v="0"/>
    <n v="0"/>
    <n v="0"/>
    <n v="45.1"/>
  </r>
  <r>
    <x v="184"/>
    <d v="2025-02-07T00:00:00"/>
    <x v="0"/>
    <s v="South"/>
    <s v="Tablet"/>
    <s v="Paid Search"/>
    <s v="Premium"/>
    <n v="0"/>
    <n v="0"/>
    <n v="0"/>
    <n v="0"/>
    <n v="0"/>
    <n v="0"/>
    <n v="0"/>
    <n v="0"/>
    <n v="67.5"/>
  </r>
  <r>
    <x v="185"/>
    <d v="2025-04-28T00:00:00"/>
    <x v="0"/>
    <s v="East"/>
    <s v="Tablet"/>
    <s v="Email"/>
    <s v="Basic"/>
    <n v="1"/>
    <n v="1"/>
    <n v="1"/>
    <n v="0"/>
    <n v="0"/>
    <n v="0"/>
    <n v="0"/>
    <n v="0"/>
    <n v="80"/>
  </r>
  <r>
    <x v="186"/>
    <d v="2025-05-15T00:00:00"/>
    <x v="0"/>
    <s v="East"/>
    <s v="Desktop"/>
    <s v="Referral"/>
    <s v="Free"/>
    <n v="0"/>
    <n v="0"/>
    <n v="0"/>
    <n v="0"/>
    <n v="0"/>
    <n v="0"/>
    <n v="0"/>
    <n v="0"/>
    <n v="56.4"/>
  </r>
  <r>
    <x v="187"/>
    <d v="2025-01-18T00:00:00"/>
    <x v="0"/>
    <s v="West"/>
    <s v="Mobile"/>
    <s v="Paid Search"/>
    <s v="Basic"/>
    <n v="0"/>
    <n v="0"/>
    <n v="0"/>
    <n v="0"/>
    <n v="0"/>
    <n v="0"/>
    <n v="0"/>
    <n v="0"/>
    <n v="55.4"/>
  </r>
  <r>
    <x v="188"/>
    <d v="2025-02-15T00:00:00"/>
    <x v="0"/>
    <s v="South"/>
    <s v="Mobile"/>
    <s v="Social"/>
    <s v="Basic"/>
    <n v="1"/>
    <n v="0"/>
    <n v="0"/>
    <n v="0"/>
    <n v="0"/>
    <n v="0"/>
    <n v="0"/>
    <n v="0"/>
    <n v="67.900000000000006"/>
  </r>
  <r>
    <x v="189"/>
    <d v="2025-02-18T00:00:00"/>
    <x v="0"/>
    <s v="North"/>
    <s v="Tablet"/>
    <s v="Email"/>
    <s v="Free"/>
    <n v="1"/>
    <n v="0"/>
    <n v="0"/>
    <n v="0"/>
    <n v="0"/>
    <n v="0"/>
    <n v="0"/>
    <n v="0"/>
    <n v="62.5"/>
  </r>
  <r>
    <x v="190"/>
    <d v="2025-01-30T00:00:00"/>
    <x v="0"/>
    <s v="South"/>
    <s v="Desktop"/>
    <s v="Email"/>
    <s v="Basic"/>
    <n v="1"/>
    <n v="1"/>
    <n v="1"/>
    <n v="0"/>
    <n v="0"/>
    <n v="0"/>
    <n v="0"/>
    <n v="0"/>
    <n v="54.3"/>
  </r>
  <r>
    <x v="191"/>
    <d v="2025-02-09T00:00:00"/>
    <x v="0"/>
    <s v="South"/>
    <s v="Desktop"/>
    <s v="Organic"/>
    <s v="Basic"/>
    <n v="1"/>
    <n v="0"/>
    <n v="0"/>
    <n v="0"/>
    <n v="0"/>
    <n v="0"/>
    <n v="0"/>
    <n v="0"/>
    <n v="37.5"/>
  </r>
  <r>
    <x v="192"/>
    <d v="2025-03-16T00:00:00"/>
    <x v="0"/>
    <s v="West"/>
    <s v="Mobile"/>
    <s v="Paid Search"/>
    <s v="Basic"/>
    <n v="1"/>
    <n v="0"/>
    <n v="0"/>
    <n v="0"/>
    <n v="0"/>
    <n v="0"/>
    <n v="0"/>
    <n v="0"/>
    <n v="52.6"/>
  </r>
  <r>
    <x v="193"/>
    <d v="2025-05-19T00:00:00"/>
    <x v="0"/>
    <s v="North"/>
    <s v="Mobile"/>
    <s v="Paid Search"/>
    <s v="Free"/>
    <n v="1"/>
    <n v="0"/>
    <n v="0"/>
    <n v="0"/>
    <n v="0"/>
    <n v="0"/>
    <n v="0"/>
    <n v="0"/>
    <n v="46.1"/>
  </r>
  <r>
    <x v="194"/>
    <d v="2025-05-16T00:00:00"/>
    <x v="0"/>
    <s v="South"/>
    <s v="Desktop"/>
    <s v="Organic"/>
    <s v="Basic"/>
    <n v="1"/>
    <n v="0"/>
    <n v="0"/>
    <n v="0"/>
    <n v="0"/>
    <n v="0"/>
    <n v="0"/>
    <n v="0"/>
    <n v="54.7"/>
  </r>
  <r>
    <x v="195"/>
    <d v="2025-04-25T00:00:00"/>
    <x v="0"/>
    <s v="West"/>
    <s v="Desktop"/>
    <s v="Referral"/>
    <s v="Basic"/>
    <n v="0"/>
    <n v="0"/>
    <n v="0"/>
    <n v="0"/>
    <n v="0"/>
    <n v="0"/>
    <n v="0"/>
    <n v="0"/>
    <n v="74.2"/>
  </r>
  <r>
    <x v="196"/>
    <d v="2025-02-27T00:00:00"/>
    <x v="0"/>
    <s v="North"/>
    <s v="Mobile"/>
    <s v="Social"/>
    <s v="Basic"/>
    <n v="1"/>
    <n v="1"/>
    <n v="1"/>
    <n v="1"/>
    <n v="1052.8"/>
    <n v="2"/>
    <n v="0"/>
    <n v="6"/>
    <n v="64.7"/>
  </r>
  <r>
    <x v="197"/>
    <d v="2025-04-26T00:00:00"/>
    <x v="0"/>
    <s v="South"/>
    <s v="Mobile"/>
    <s v="Paid Search"/>
    <s v="Basic"/>
    <n v="0"/>
    <n v="0"/>
    <n v="0"/>
    <n v="0"/>
    <n v="0"/>
    <n v="0"/>
    <n v="0"/>
    <n v="0"/>
    <n v="65.900000000000006"/>
  </r>
  <r>
    <x v="198"/>
    <d v="2025-05-14T00:00:00"/>
    <x v="0"/>
    <s v="North"/>
    <s v="Mobile"/>
    <s v="Organic"/>
    <s v="Basic"/>
    <n v="1"/>
    <n v="0"/>
    <n v="0"/>
    <n v="0"/>
    <n v="0"/>
    <n v="0"/>
    <n v="0"/>
    <n v="0"/>
    <n v="64"/>
  </r>
  <r>
    <x v="199"/>
    <d v="2025-03-05T00:00:00"/>
    <x v="0"/>
    <s v="North"/>
    <s v="Mobile"/>
    <s v="Organic"/>
    <s v="Premium"/>
    <n v="1"/>
    <n v="0"/>
    <n v="0"/>
    <n v="0"/>
    <n v="0"/>
    <n v="0"/>
    <n v="0"/>
    <n v="0"/>
    <n v="57.2"/>
  </r>
  <r>
    <x v="200"/>
    <d v="2025-04-02T00:00:00"/>
    <x v="0"/>
    <s v="West"/>
    <s v="Desktop"/>
    <s v="Organic"/>
    <s v="Free"/>
    <n v="1"/>
    <n v="0"/>
    <n v="0"/>
    <n v="0"/>
    <n v="0"/>
    <n v="0"/>
    <n v="0"/>
    <n v="0"/>
    <n v="80.5"/>
  </r>
  <r>
    <x v="201"/>
    <d v="2025-05-14T00:00:00"/>
    <x v="0"/>
    <s v="South"/>
    <s v="Tablet"/>
    <s v="Organic"/>
    <s v="Free"/>
    <n v="0"/>
    <n v="0"/>
    <n v="0"/>
    <n v="0"/>
    <n v="0"/>
    <n v="0"/>
    <n v="0"/>
    <n v="0"/>
    <n v="53.9"/>
  </r>
  <r>
    <x v="202"/>
    <d v="2025-05-21T00:00:00"/>
    <x v="0"/>
    <s v="North"/>
    <s v="Mobile"/>
    <s v="Paid Search"/>
    <s v="Free"/>
    <n v="1"/>
    <n v="1"/>
    <n v="0"/>
    <n v="0"/>
    <n v="0"/>
    <n v="0"/>
    <n v="0"/>
    <n v="0"/>
    <n v="77.5"/>
  </r>
  <r>
    <x v="203"/>
    <d v="2025-01-27T00:00:00"/>
    <x v="0"/>
    <s v="East"/>
    <s v="Mobile"/>
    <s v="Social"/>
    <s v="Basic"/>
    <n v="0"/>
    <n v="0"/>
    <n v="0"/>
    <n v="0"/>
    <n v="0"/>
    <n v="0"/>
    <n v="0"/>
    <n v="0"/>
    <n v="84.2"/>
  </r>
  <r>
    <x v="204"/>
    <d v="2025-05-22T00:00:00"/>
    <x v="0"/>
    <s v="West"/>
    <s v="Desktop"/>
    <s v="Organic"/>
    <s v="Free"/>
    <n v="1"/>
    <n v="1"/>
    <n v="0"/>
    <n v="0"/>
    <n v="0"/>
    <n v="0"/>
    <n v="0"/>
    <n v="0"/>
    <n v="54.9"/>
  </r>
  <r>
    <x v="205"/>
    <d v="2025-05-19T00:00:00"/>
    <x v="0"/>
    <s v="South"/>
    <s v="Mobile"/>
    <s v="Paid Search"/>
    <s v="Free"/>
    <n v="0"/>
    <n v="0"/>
    <n v="0"/>
    <n v="0"/>
    <n v="0"/>
    <n v="0"/>
    <n v="0"/>
    <n v="0"/>
    <n v="69.3"/>
  </r>
  <r>
    <x v="206"/>
    <d v="2025-01-14T00:00:00"/>
    <x v="0"/>
    <s v="South"/>
    <s v="Desktop"/>
    <s v="Paid Search"/>
    <s v="Free"/>
    <n v="1"/>
    <n v="0"/>
    <n v="0"/>
    <n v="0"/>
    <n v="0"/>
    <n v="2"/>
    <n v="0"/>
    <n v="0"/>
    <n v="42.3"/>
  </r>
  <r>
    <x v="207"/>
    <d v="2025-01-21T00:00:00"/>
    <x v="0"/>
    <s v="North"/>
    <s v="Desktop"/>
    <s v="Referral"/>
    <s v="Premium"/>
    <n v="1"/>
    <n v="0"/>
    <n v="0"/>
    <n v="0"/>
    <n v="0"/>
    <n v="1"/>
    <n v="0"/>
    <n v="0"/>
    <n v="69.599999999999994"/>
  </r>
  <r>
    <x v="208"/>
    <d v="2025-05-16T00:00:00"/>
    <x v="0"/>
    <s v="East"/>
    <s v="Mobile"/>
    <s v="Organic"/>
    <s v="Free"/>
    <n v="0"/>
    <n v="0"/>
    <n v="0"/>
    <n v="0"/>
    <n v="0"/>
    <n v="0"/>
    <n v="0"/>
    <n v="0"/>
    <n v="40.700000000000003"/>
  </r>
  <r>
    <x v="209"/>
    <d v="2025-02-02T00:00:00"/>
    <x v="0"/>
    <s v="North"/>
    <s v="Mobile"/>
    <s v="Email"/>
    <s v="Free"/>
    <n v="1"/>
    <n v="0"/>
    <n v="0"/>
    <n v="0"/>
    <n v="0"/>
    <n v="0"/>
    <n v="0"/>
    <n v="0"/>
    <n v="54"/>
  </r>
  <r>
    <x v="210"/>
    <d v="2025-03-23T00:00:00"/>
    <x v="0"/>
    <s v="East"/>
    <s v="Unknown"/>
    <s v="Referral"/>
    <s v="Free"/>
    <n v="1"/>
    <n v="1"/>
    <n v="1"/>
    <n v="1"/>
    <n v="553.37"/>
    <n v="0"/>
    <n v="0"/>
    <n v="5"/>
    <n v="46.3"/>
  </r>
  <r>
    <x v="211"/>
    <d v="2025-01-24T00:00:00"/>
    <x v="0"/>
    <s v="East"/>
    <s v="Mobile"/>
    <s v="Organic"/>
    <s v="Free"/>
    <n v="1"/>
    <n v="0"/>
    <n v="0"/>
    <n v="0"/>
    <n v="0"/>
    <n v="0"/>
    <n v="0"/>
    <n v="0"/>
    <n v="64.2"/>
  </r>
  <r>
    <x v="212"/>
    <d v="2025-04-12T00:00:00"/>
    <x v="0"/>
    <s v="North"/>
    <s v="Desktop"/>
    <s v="Organic"/>
    <s v="Free"/>
    <n v="1"/>
    <n v="0"/>
    <n v="0"/>
    <n v="0"/>
    <n v="0"/>
    <n v="0"/>
    <n v="0"/>
    <n v="0"/>
    <n v="75.2"/>
  </r>
  <r>
    <x v="213"/>
    <d v="2025-02-18T00:00:00"/>
    <x v="0"/>
    <s v="East"/>
    <s v="Desktop"/>
    <s v="Paid Search"/>
    <s v="Free"/>
    <n v="1"/>
    <n v="1"/>
    <n v="0"/>
    <n v="0"/>
    <n v="0"/>
    <n v="0"/>
    <n v="0"/>
    <n v="0"/>
    <n v="60.9"/>
  </r>
  <r>
    <x v="214"/>
    <d v="2025-05-28T00:00:00"/>
    <x v="0"/>
    <s v="South"/>
    <s v="Mobile"/>
    <s v="Email"/>
    <s v="Basic"/>
    <n v="1"/>
    <n v="1"/>
    <n v="1"/>
    <n v="0"/>
    <n v="0"/>
    <n v="0"/>
    <n v="0"/>
    <n v="0"/>
    <n v="62.1"/>
  </r>
  <r>
    <x v="215"/>
    <d v="2025-04-18T00:00:00"/>
    <x v="0"/>
    <s v="South"/>
    <s v="Mobile"/>
    <s v="Social"/>
    <s v="Basic"/>
    <n v="0"/>
    <n v="0"/>
    <n v="0"/>
    <n v="0"/>
    <n v="0"/>
    <n v="0"/>
    <n v="0"/>
    <n v="0"/>
    <n v="45.4"/>
  </r>
  <r>
    <x v="216"/>
    <d v="2025-03-27T00:00:00"/>
    <x v="0"/>
    <s v="North"/>
    <s v="Mobile"/>
    <s v="Paid Search"/>
    <s v="Basic"/>
    <n v="1"/>
    <n v="0"/>
    <n v="0"/>
    <n v="0"/>
    <n v="0"/>
    <n v="0"/>
    <n v="0"/>
    <n v="0"/>
    <n v="53.3"/>
  </r>
  <r>
    <x v="217"/>
    <d v="2025-02-25T00:00:00"/>
    <x v="0"/>
    <s v="North"/>
    <s v="Tablet"/>
    <s v="Social"/>
    <s v="Free"/>
    <n v="1"/>
    <n v="0"/>
    <n v="0"/>
    <n v="0"/>
    <n v="0"/>
    <n v="0"/>
    <n v="0"/>
    <n v="0"/>
    <n v="0"/>
  </r>
  <r>
    <x v="218"/>
    <d v="2025-02-19T00:00:00"/>
    <x v="0"/>
    <s v="East"/>
    <s v="Mobile"/>
    <s v="Paid Search"/>
    <s v="Free"/>
    <n v="0"/>
    <n v="0"/>
    <n v="0"/>
    <n v="0"/>
    <n v="0"/>
    <n v="1"/>
    <n v="0"/>
    <n v="0"/>
    <n v="38.200000000000003"/>
  </r>
  <r>
    <x v="219"/>
    <d v="2025-04-11T00:00:00"/>
    <x v="0"/>
    <s v="West"/>
    <s v="Mobile"/>
    <s v="Paid Search"/>
    <s v="Free"/>
    <n v="1"/>
    <n v="1"/>
    <n v="0"/>
    <n v="0"/>
    <n v="0"/>
    <n v="3"/>
    <n v="0"/>
    <n v="0"/>
    <n v="59"/>
  </r>
  <r>
    <x v="220"/>
    <d v="2025-01-22T00:00:00"/>
    <x v="0"/>
    <s v="East"/>
    <s v="Tablet"/>
    <s v="Referral"/>
    <s v="Premium"/>
    <n v="1"/>
    <n v="1"/>
    <n v="1"/>
    <n v="0"/>
    <n v="0"/>
    <n v="0"/>
    <n v="0"/>
    <n v="0"/>
    <n v="80.599999999999994"/>
  </r>
  <r>
    <x v="221"/>
    <d v="2025-01-12T00:00:00"/>
    <x v="0"/>
    <s v="South"/>
    <s v="Mobile"/>
    <s v="Social"/>
    <s v="Free"/>
    <n v="1"/>
    <n v="0"/>
    <n v="0"/>
    <n v="0"/>
    <n v="0"/>
    <n v="0"/>
    <n v="0"/>
    <n v="0"/>
    <n v="67"/>
  </r>
  <r>
    <x v="222"/>
    <d v="2025-02-17T00:00:00"/>
    <x v="0"/>
    <s v="West"/>
    <s v="Mobile"/>
    <s v="Email"/>
    <s v="Free"/>
    <n v="1"/>
    <n v="0"/>
    <n v="0"/>
    <n v="0"/>
    <n v="0"/>
    <n v="1"/>
    <n v="0"/>
    <n v="0"/>
    <n v="72.099999999999994"/>
  </r>
  <r>
    <x v="223"/>
    <d v="2025-04-11T00:00:00"/>
    <x v="0"/>
    <s v="West"/>
    <s v="Desktop"/>
    <s v="Organic"/>
    <s v="Free"/>
    <n v="0"/>
    <n v="0"/>
    <n v="0"/>
    <n v="0"/>
    <n v="0"/>
    <n v="0"/>
    <n v="0"/>
    <n v="0"/>
    <n v="74.099999999999994"/>
  </r>
  <r>
    <x v="224"/>
    <d v="2025-05-25T00:00:00"/>
    <x v="0"/>
    <s v="South"/>
    <s v="Mobile"/>
    <s v="Referral"/>
    <s v="Premium"/>
    <n v="0"/>
    <n v="0"/>
    <n v="0"/>
    <n v="0"/>
    <n v="0"/>
    <n v="0"/>
    <n v="0"/>
    <n v="0"/>
    <n v="84.8"/>
  </r>
  <r>
    <x v="225"/>
    <d v="2025-03-12T00:00:00"/>
    <x v="0"/>
    <s v="South"/>
    <s v="Mobile"/>
    <s v="Organic"/>
    <s v="Basic"/>
    <n v="1"/>
    <n v="0"/>
    <n v="0"/>
    <n v="0"/>
    <n v="0"/>
    <n v="0"/>
    <n v="0"/>
    <n v="0"/>
    <n v="33"/>
  </r>
  <r>
    <x v="226"/>
    <d v="2025-04-20T00:00:00"/>
    <x v="0"/>
    <s v="North"/>
    <s v="Tablet"/>
    <s v="Email"/>
    <s v="Free"/>
    <n v="0"/>
    <n v="0"/>
    <n v="0"/>
    <n v="0"/>
    <n v="0"/>
    <n v="0"/>
    <n v="0"/>
    <n v="0"/>
    <n v="52.5"/>
  </r>
  <r>
    <x v="227"/>
    <d v="2025-02-23T00:00:00"/>
    <x v="0"/>
    <s v="North"/>
    <s v="Tablet"/>
    <s v="Organic"/>
    <s v="Free"/>
    <n v="0"/>
    <n v="0"/>
    <n v="0"/>
    <n v="0"/>
    <n v="0"/>
    <n v="0"/>
    <n v="0"/>
    <n v="0"/>
    <n v="66.900000000000006"/>
  </r>
  <r>
    <x v="228"/>
    <d v="2025-01-24T00:00:00"/>
    <x v="0"/>
    <s v="North"/>
    <s v="Mobile"/>
    <s v="Organic"/>
    <s v="Basic"/>
    <n v="1"/>
    <n v="1"/>
    <n v="1"/>
    <n v="0"/>
    <n v="0"/>
    <n v="1"/>
    <n v="0"/>
    <n v="0"/>
    <n v="32.700000000000003"/>
  </r>
  <r>
    <x v="229"/>
    <d v="2025-01-16T00:00:00"/>
    <x v="0"/>
    <s v="West"/>
    <s v="Mobile"/>
    <s v="Organic"/>
    <s v="Premium"/>
    <n v="1"/>
    <n v="1"/>
    <n v="1"/>
    <n v="0"/>
    <n v="0"/>
    <n v="1"/>
    <n v="0"/>
    <n v="0"/>
    <n v="70.599999999999994"/>
  </r>
  <r>
    <x v="230"/>
    <d v="2025-02-17T00:00:00"/>
    <x v="0"/>
    <s v="North"/>
    <s v="Mobile"/>
    <s v="Social"/>
    <s v="Free"/>
    <n v="0"/>
    <n v="0"/>
    <n v="0"/>
    <n v="0"/>
    <n v="0"/>
    <n v="0"/>
    <n v="0"/>
    <n v="0"/>
    <n v="69.400000000000006"/>
  </r>
  <r>
    <x v="231"/>
    <d v="2025-05-04T00:00:00"/>
    <x v="0"/>
    <s v="North"/>
    <s v="Desktop"/>
    <s v="Organic"/>
    <s v="Basic"/>
    <n v="1"/>
    <n v="0"/>
    <n v="0"/>
    <n v="0"/>
    <n v="0"/>
    <n v="0"/>
    <n v="0"/>
    <n v="0"/>
    <n v="56.1"/>
  </r>
  <r>
    <x v="232"/>
    <d v="2025-01-12T00:00:00"/>
    <x v="0"/>
    <s v="West"/>
    <s v="Mobile"/>
    <s v="Organic"/>
    <s v="Basic"/>
    <n v="0"/>
    <n v="0"/>
    <n v="0"/>
    <n v="0"/>
    <n v="0"/>
    <n v="0"/>
    <n v="0"/>
    <n v="0"/>
    <n v="55.8"/>
  </r>
  <r>
    <x v="233"/>
    <d v="2025-04-28T00:00:00"/>
    <x v="0"/>
    <s v="North"/>
    <s v="Tablet"/>
    <s v="Organic"/>
    <s v="Free"/>
    <n v="0"/>
    <n v="0"/>
    <n v="0"/>
    <n v="0"/>
    <n v="0"/>
    <n v="0"/>
    <n v="0"/>
    <n v="0"/>
    <n v="49.3"/>
  </r>
  <r>
    <x v="234"/>
    <d v="2025-02-26T00:00:00"/>
    <x v="0"/>
    <s v="North"/>
    <s v="Mobile"/>
    <s v="Organic"/>
    <s v="Free"/>
    <n v="0"/>
    <n v="0"/>
    <n v="0"/>
    <n v="0"/>
    <n v="0"/>
    <n v="0"/>
    <n v="0"/>
    <n v="0"/>
    <n v="71.8"/>
  </r>
  <r>
    <x v="235"/>
    <d v="2025-03-18T00:00:00"/>
    <x v="0"/>
    <s v="West"/>
    <s v="Mobile"/>
    <s v="Social"/>
    <s v="Free"/>
    <n v="1"/>
    <n v="0"/>
    <n v="0"/>
    <n v="0"/>
    <n v="0"/>
    <n v="3"/>
    <n v="0"/>
    <n v="0"/>
    <n v="39.700000000000003"/>
  </r>
  <r>
    <x v="236"/>
    <d v="2025-03-01T00:00:00"/>
    <x v="0"/>
    <s v="South"/>
    <s v="Desktop"/>
    <s v="Organic"/>
    <s v="Premium"/>
    <n v="1"/>
    <n v="0"/>
    <n v="0"/>
    <n v="0"/>
    <n v="0"/>
    <n v="0"/>
    <n v="0"/>
    <n v="0"/>
    <n v="45.4"/>
  </r>
  <r>
    <x v="237"/>
    <d v="2025-04-05T00:00:00"/>
    <x v="0"/>
    <s v="North"/>
    <s v="Desktop"/>
    <s v="Social"/>
    <s v="Premium"/>
    <n v="1"/>
    <n v="0"/>
    <n v="0"/>
    <n v="0"/>
    <n v="0"/>
    <n v="0"/>
    <n v="0"/>
    <n v="0"/>
    <n v="69.900000000000006"/>
  </r>
  <r>
    <x v="238"/>
    <d v="2025-03-12T00:00:00"/>
    <x v="0"/>
    <s v="North"/>
    <s v="Desktop"/>
    <s v="Social"/>
    <s v="Free"/>
    <n v="1"/>
    <n v="1"/>
    <n v="1"/>
    <n v="0"/>
    <n v="0"/>
    <n v="0"/>
    <n v="0"/>
    <n v="0"/>
    <n v="56.1"/>
  </r>
  <r>
    <x v="239"/>
    <d v="2025-03-15T00:00:00"/>
    <x v="0"/>
    <s v="West"/>
    <s v="Mobile"/>
    <s v="Referral"/>
    <s v="Basic"/>
    <n v="1"/>
    <n v="1"/>
    <n v="0"/>
    <n v="0"/>
    <n v="0"/>
    <n v="0"/>
    <n v="0"/>
    <n v="0"/>
    <n v="45.9"/>
  </r>
  <r>
    <x v="240"/>
    <d v="2025-02-23T00:00:00"/>
    <x v="0"/>
    <s v="West"/>
    <s v="Mobile"/>
    <s v="Email"/>
    <s v="Free"/>
    <n v="0"/>
    <n v="0"/>
    <n v="0"/>
    <n v="0"/>
    <n v="0"/>
    <n v="0"/>
    <n v="0"/>
    <n v="0"/>
    <n v="65.8"/>
  </r>
  <r>
    <x v="241"/>
    <d v="2025-04-22T00:00:00"/>
    <x v="0"/>
    <s v="North"/>
    <s v="Mobile"/>
    <s v="Organic"/>
    <s v="Basic"/>
    <n v="1"/>
    <n v="0"/>
    <n v="0"/>
    <n v="0"/>
    <n v="0"/>
    <n v="0"/>
    <n v="0"/>
    <n v="0"/>
    <n v="48.2"/>
  </r>
  <r>
    <x v="242"/>
    <d v="2025-01-09T00:00:00"/>
    <x v="0"/>
    <s v="East"/>
    <s v="Mobile"/>
    <s v="Organic"/>
    <s v="Basic"/>
    <n v="1"/>
    <n v="1"/>
    <n v="1"/>
    <n v="0"/>
    <n v="0"/>
    <n v="0"/>
    <n v="0"/>
    <n v="0"/>
    <n v="81.099999999999994"/>
  </r>
  <r>
    <x v="243"/>
    <d v="2025-03-05T00:00:00"/>
    <x v="0"/>
    <s v="East"/>
    <s v="Tablet"/>
    <s v="Social"/>
    <s v="Premium"/>
    <n v="1"/>
    <n v="1"/>
    <n v="0"/>
    <n v="0"/>
    <n v="0"/>
    <n v="0"/>
    <n v="0"/>
    <n v="0"/>
    <n v="53.2"/>
  </r>
  <r>
    <x v="244"/>
    <d v="2025-01-28T00:00:00"/>
    <x v="0"/>
    <s v="North"/>
    <s v="Mobile"/>
    <s v="Social"/>
    <s v="Free"/>
    <n v="1"/>
    <n v="1"/>
    <n v="1"/>
    <n v="0"/>
    <n v="0"/>
    <n v="0"/>
    <n v="0"/>
    <n v="0"/>
    <n v="57.7"/>
  </r>
  <r>
    <x v="245"/>
    <d v="2025-01-21T00:00:00"/>
    <x v="0"/>
    <s v="West"/>
    <s v="Mobile"/>
    <s v="Paid Search"/>
    <s v="Premium"/>
    <n v="1"/>
    <n v="1"/>
    <n v="0"/>
    <n v="0"/>
    <n v="0"/>
    <n v="0"/>
    <n v="0"/>
    <n v="0"/>
    <n v="78.900000000000006"/>
  </r>
  <r>
    <x v="246"/>
    <d v="2025-03-14T00:00:00"/>
    <x v="0"/>
    <s v="South"/>
    <s v="Mobile"/>
    <s v="Referral"/>
    <s v="Basic"/>
    <n v="0"/>
    <n v="0"/>
    <n v="0"/>
    <n v="0"/>
    <n v="0"/>
    <n v="0"/>
    <n v="0"/>
    <n v="0"/>
    <n v="55.7"/>
  </r>
  <r>
    <x v="247"/>
    <d v="2025-02-03T00:00:00"/>
    <x v="0"/>
    <s v="West"/>
    <s v="Mobile"/>
    <s v="Paid Search"/>
    <s v="Free"/>
    <n v="0"/>
    <n v="0"/>
    <n v="0"/>
    <n v="0"/>
    <n v="0"/>
    <n v="0"/>
    <n v="0"/>
    <n v="0"/>
    <n v="52.3"/>
  </r>
  <r>
    <x v="248"/>
    <d v="2025-05-22T00:00:00"/>
    <x v="0"/>
    <s v="North"/>
    <s v="Mobile"/>
    <s v="Social"/>
    <s v="Free"/>
    <n v="1"/>
    <n v="0"/>
    <n v="0"/>
    <n v="0"/>
    <n v="0"/>
    <n v="0"/>
    <n v="0"/>
    <n v="0"/>
    <n v="51.5"/>
  </r>
  <r>
    <x v="249"/>
    <d v="2025-04-25T00:00:00"/>
    <x v="0"/>
    <s v="North"/>
    <s v="Desktop"/>
    <s v="Email"/>
    <s v="Free"/>
    <n v="1"/>
    <n v="0"/>
    <n v="0"/>
    <n v="0"/>
    <n v="0"/>
    <n v="0"/>
    <n v="0"/>
    <n v="0"/>
    <n v="70.8"/>
  </r>
  <r>
    <x v="250"/>
    <d v="2025-01-30T00:00:00"/>
    <x v="0"/>
    <s v="North"/>
    <s v="Desktop"/>
    <s v="Email"/>
    <s v="Basic"/>
    <n v="1"/>
    <n v="1"/>
    <n v="1"/>
    <n v="1"/>
    <n v="1250.78"/>
    <n v="0"/>
    <n v="0"/>
    <n v="10"/>
    <n v="39"/>
  </r>
  <r>
    <x v="251"/>
    <d v="2025-05-23T00:00:00"/>
    <x v="0"/>
    <s v="West"/>
    <s v="Mobile"/>
    <s v="Organic"/>
    <s v="Free"/>
    <n v="1"/>
    <n v="0"/>
    <n v="0"/>
    <n v="0"/>
    <n v="0"/>
    <n v="0"/>
    <n v="0"/>
    <n v="0"/>
    <n v="61.6"/>
  </r>
  <r>
    <x v="252"/>
    <d v="2025-02-14T00:00:00"/>
    <x v="0"/>
    <s v="East"/>
    <s v="Desktop"/>
    <s v="Organic"/>
    <s v="Free"/>
    <n v="1"/>
    <n v="1"/>
    <n v="1"/>
    <n v="0"/>
    <n v="0"/>
    <n v="0"/>
    <n v="0"/>
    <n v="0"/>
    <n v="46.8"/>
  </r>
  <r>
    <x v="253"/>
    <d v="2025-03-05T00:00:00"/>
    <x v="0"/>
    <s v="North"/>
    <s v="Mobile"/>
    <s v="Paid Search"/>
    <s v="Premium"/>
    <n v="0"/>
    <n v="0"/>
    <n v="0"/>
    <n v="0"/>
    <n v="0"/>
    <n v="1"/>
    <n v="0"/>
    <n v="0"/>
    <n v="58.5"/>
  </r>
  <r>
    <x v="254"/>
    <d v="2025-05-27T00:00:00"/>
    <x v="0"/>
    <s v="North"/>
    <s v="Mobile"/>
    <s v="Paid Search"/>
    <s v="Basic"/>
    <n v="0"/>
    <n v="0"/>
    <n v="0"/>
    <n v="0"/>
    <n v="0"/>
    <n v="0"/>
    <n v="0"/>
    <n v="0"/>
    <n v="70.900000000000006"/>
  </r>
  <r>
    <x v="255"/>
    <d v="2025-01-07T00:00:00"/>
    <x v="0"/>
    <s v="South"/>
    <s v="Mobile"/>
    <s v="Paid Search"/>
    <s v="Free"/>
    <n v="1"/>
    <n v="0"/>
    <n v="0"/>
    <n v="0"/>
    <n v="0"/>
    <n v="0"/>
    <n v="0"/>
    <n v="0"/>
    <n v="48.4"/>
  </r>
  <r>
    <x v="256"/>
    <d v="2025-04-21T00:00:00"/>
    <x v="0"/>
    <s v="North"/>
    <s v="Mobile"/>
    <s v="Email"/>
    <s v="Free"/>
    <n v="1"/>
    <n v="0"/>
    <n v="0"/>
    <n v="0"/>
    <n v="0"/>
    <n v="0"/>
    <n v="0"/>
    <n v="0"/>
    <n v="58"/>
  </r>
  <r>
    <x v="257"/>
    <d v="2025-05-13T00:00:00"/>
    <x v="0"/>
    <s v="North"/>
    <s v="Mobile"/>
    <s v="Paid Search"/>
    <s v="Free"/>
    <n v="0"/>
    <n v="0"/>
    <n v="0"/>
    <n v="0"/>
    <n v="0"/>
    <n v="0"/>
    <n v="0"/>
    <n v="0"/>
    <n v="61.6"/>
  </r>
  <r>
    <x v="258"/>
    <d v="2025-01-28T00:00:00"/>
    <x v="0"/>
    <s v="East"/>
    <s v="Desktop"/>
    <s v="Organic"/>
    <s v="Free"/>
    <n v="1"/>
    <n v="0"/>
    <n v="0"/>
    <n v="0"/>
    <n v="0"/>
    <n v="0"/>
    <n v="0"/>
    <n v="0"/>
    <n v="43.2"/>
  </r>
  <r>
    <x v="259"/>
    <d v="2025-03-16T00:00:00"/>
    <x v="0"/>
    <s v="East"/>
    <s v="Desktop"/>
    <s v="Paid Search"/>
    <s v="Basic"/>
    <n v="1"/>
    <n v="0"/>
    <n v="0"/>
    <n v="0"/>
    <n v="0"/>
    <n v="1"/>
    <n v="0"/>
    <n v="0"/>
    <n v="53.3"/>
  </r>
  <r>
    <x v="260"/>
    <d v="2025-04-10T00:00:00"/>
    <x v="0"/>
    <s v="East"/>
    <s v="Desktop"/>
    <s v="Social"/>
    <s v="Basic"/>
    <n v="0"/>
    <n v="0"/>
    <n v="0"/>
    <n v="0"/>
    <n v="0"/>
    <n v="0"/>
    <n v="0"/>
    <n v="0"/>
    <n v="33.9"/>
  </r>
  <r>
    <x v="261"/>
    <d v="2025-03-15T00:00:00"/>
    <x v="0"/>
    <s v="East"/>
    <s v="Desktop"/>
    <s v="Referral"/>
    <s v="Free"/>
    <n v="1"/>
    <n v="1"/>
    <n v="1"/>
    <n v="0"/>
    <n v="0"/>
    <n v="0"/>
    <n v="0"/>
    <n v="0"/>
    <n v="35.4"/>
  </r>
  <r>
    <x v="262"/>
    <d v="2025-04-07T00:00:00"/>
    <x v="0"/>
    <s v="West"/>
    <s v="Desktop"/>
    <s v="Organic"/>
    <s v="Basic"/>
    <n v="1"/>
    <n v="0"/>
    <n v="0"/>
    <n v="0"/>
    <n v="0"/>
    <n v="0"/>
    <n v="0"/>
    <n v="0"/>
    <n v="45"/>
  </r>
  <r>
    <x v="263"/>
    <d v="2025-02-12T00:00:00"/>
    <x v="0"/>
    <s v="South"/>
    <s v="Mobile"/>
    <s v="Organic"/>
    <s v="Free"/>
    <n v="1"/>
    <n v="1"/>
    <n v="0"/>
    <n v="0"/>
    <n v="0"/>
    <n v="0"/>
    <n v="0"/>
    <n v="0"/>
    <n v="86.5"/>
  </r>
  <r>
    <x v="264"/>
    <d v="2025-05-05T00:00:00"/>
    <x v="0"/>
    <s v="West"/>
    <s v="Mobile"/>
    <s v="Social"/>
    <s v="Free"/>
    <n v="0"/>
    <n v="0"/>
    <n v="0"/>
    <n v="0"/>
    <n v="0"/>
    <n v="0"/>
    <n v="0"/>
    <n v="0"/>
    <n v="58.1"/>
  </r>
  <r>
    <x v="265"/>
    <d v="2025-03-11T00:00:00"/>
    <x v="0"/>
    <s v="West"/>
    <s v="Mobile"/>
    <s v="Referral"/>
    <s v="Free"/>
    <n v="1"/>
    <n v="0"/>
    <n v="0"/>
    <n v="0"/>
    <n v="0"/>
    <n v="0"/>
    <n v="0"/>
    <n v="0"/>
    <n v="36.1"/>
  </r>
  <r>
    <x v="266"/>
    <d v="2025-02-10T00:00:00"/>
    <x v="0"/>
    <s v="East"/>
    <s v="Mobile"/>
    <s v="Social"/>
    <s v="Free"/>
    <n v="0"/>
    <n v="0"/>
    <n v="0"/>
    <n v="0"/>
    <n v="0"/>
    <n v="0"/>
    <n v="0"/>
    <n v="0"/>
    <n v="62.8"/>
  </r>
  <r>
    <x v="267"/>
    <d v="2025-04-06T00:00:00"/>
    <x v="0"/>
    <s v="South"/>
    <s v="Mobile"/>
    <s v="Organic"/>
    <s v="Free"/>
    <n v="0"/>
    <n v="0"/>
    <n v="0"/>
    <n v="0"/>
    <n v="0"/>
    <n v="0"/>
    <n v="0"/>
    <n v="0"/>
    <n v="54.2"/>
  </r>
  <r>
    <x v="268"/>
    <d v="2025-01-06T00:00:00"/>
    <x v="0"/>
    <s v="East"/>
    <s v="Mobile"/>
    <s v="Referral"/>
    <s v="Free"/>
    <n v="0"/>
    <n v="0"/>
    <n v="0"/>
    <n v="0"/>
    <n v="0"/>
    <n v="0"/>
    <n v="0"/>
    <n v="0"/>
    <n v="50"/>
  </r>
  <r>
    <x v="269"/>
    <d v="2025-03-25T00:00:00"/>
    <x v="0"/>
    <s v="East"/>
    <s v="Tablet"/>
    <s v="Paid Search"/>
    <s v="Basic"/>
    <n v="1"/>
    <n v="0"/>
    <n v="0"/>
    <n v="0"/>
    <n v="0"/>
    <n v="0"/>
    <n v="0"/>
    <n v="0"/>
    <n v="62"/>
  </r>
  <r>
    <x v="270"/>
    <d v="2025-02-13T00:00:00"/>
    <x v="0"/>
    <s v="East"/>
    <s v="Desktop"/>
    <s v="Referral"/>
    <s v="Free"/>
    <n v="1"/>
    <n v="0"/>
    <n v="0"/>
    <n v="0"/>
    <n v="0"/>
    <n v="0"/>
    <n v="0"/>
    <n v="0"/>
    <n v="29.3"/>
  </r>
  <r>
    <x v="271"/>
    <d v="2025-03-17T00:00:00"/>
    <x v="0"/>
    <s v="West"/>
    <s v="Desktop"/>
    <s v="Organic"/>
    <s v="Free"/>
    <n v="1"/>
    <n v="0"/>
    <n v="0"/>
    <n v="0"/>
    <n v="0"/>
    <n v="0"/>
    <n v="0"/>
    <n v="0"/>
    <n v="67.900000000000006"/>
  </r>
  <r>
    <x v="272"/>
    <d v="2025-05-10T00:00:00"/>
    <x v="0"/>
    <s v="North"/>
    <s v="Mobile"/>
    <s v="Referral"/>
    <s v="Free"/>
    <n v="1"/>
    <n v="1"/>
    <n v="1"/>
    <n v="0"/>
    <n v="0"/>
    <n v="0"/>
    <n v="0"/>
    <n v="0"/>
    <n v="67.599999999999994"/>
  </r>
  <r>
    <x v="273"/>
    <d v="2025-05-07T00:00:00"/>
    <x v="0"/>
    <s v="South"/>
    <s v="Mobile"/>
    <s v="Paid Search"/>
    <s v="Basic"/>
    <n v="0"/>
    <n v="0"/>
    <n v="0"/>
    <n v="0"/>
    <n v="0"/>
    <n v="0"/>
    <n v="0"/>
    <n v="0"/>
    <n v="67.400000000000006"/>
  </r>
  <r>
    <x v="274"/>
    <d v="2025-02-26T00:00:00"/>
    <x v="0"/>
    <s v="West"/>
    <s v="Desktop"/>
    <s v="Paid Search"/>
    <s v="Premium"/>
    <n v="0"/>
    <n v="0"/>
    <n v="0"/>
    <n v="0"/>
    <n v="0"/>
    <n v="2"/>
    <n v="0"/>
    <n v="0"/>
    <n v="53"/>
  </r>
  <r>
    <x v="275"/>
    <d v="2025-05-11T00:00:00"/>
    <x v="0"/>
    <s v="North"/>
    <s v="Mobile"/>
    <s v="Organic"/>
    <s v="Basic"/>
    <n v="0"/>
    <n v="0"/>
    <n v="0"/>
    <n v="0"/>
    <n v="0"/>
    <n v="0"/>
    <n v="0"/>
    <n v="0"/>
    <n v="65.5"/>
  </r>
  <r>
    <x v="276"/>
    <d v="2025-03-20T00:00:00"/>
    <x v="0"/>
    <s v="South"/>
    <s v="Mobile"/>
    <s v="Organic"/>
    <s v="Basic"/>
    <n v="1"/>
    <n v="1"/>
    <n v="0"/>
    <n v="0"/>
    <n v="0"/>
    <n v="0"/>
    <n v="0"/>
    <n v="0"/>
    <n v="49.6"/>
  </r>
  <r>
    <x v="277"/>
    <d v="2025-01-19T00:00:00"/>
    <x v="0"/>
    <s v="North"/>
    <s v="Mobile"/>
    <s v="Email"/>
    <s v="Free"/>
    <n v="1"/>
    <n v="1"/>
    <n v="0"/>
    <n v="0"/>
    <n v="0"/>
    <n v="0"/>
    <n v="0"/>
    <n v="0"/>
    <n v="74.5"/>
  </r>
  <r>
    <x v="278"/>
    <d v="2025-03-08T00:00:00"/>
    <x v="0"/>
    <s v="North"/>
    <s v="Tablet"/>
    <s v="Paid Search"/>
    <s v="Premium"/>
    <n v="1"/>
    <n v="0"/>
    <n v="0"/>
    <n v="0"/>
    <n v="0"/>
    <n v="1"/>
    <n v="0"/>
    <n v="0"/>
    <n v="46.9"/>
  </r>
  <r>
    <x v="279"/>
    <d v="2025-04-25T00:00:00"/>
    <x v="0"/>
    <s v="North"/>
    <s v="Mobile"/>
    <s v="Organic"/>
    <s v="Free"/>
    <n v="0"/>
    <n v="0"/>
    <n v="0"/>
    <n v="0"/>
    <n v="0"/>
    <n v="0"/>
    <n v="0"/>
    <n v="0"/>
    <n v="87.1"/>
  </r>
  <r>
    <x v="280"/>
    <d v="2025-04-04T00:00:00"/>
    <x v="0"/>
    <s v="North"/>
    <s v="Desktop"/>
    <s v="Organic"/>
    <s v="Free"/>
    <n v="1"/>
    <n v="0"/>
    <n v="0"/>
    <n v="0"/>
    <n v="0"/>
    <n v="0"/>
    <n v="0"/>
    <n v="0"/>
    <n v="56"/>
  </r>
  <r>
    <x v="281"/>
    <d v="2025-05-01T00:00:00"/>
    <x v="0"/>
    <s v="East"/>
    <s v="Mobile"/>
    <s v="Paid Search"/>
    <s v="Premium"/>
    <n v="1"/>
    <n v="0"/>
    <n v="0"/>
    <n v="0"/>
    <n v="0"/>
    <n v="1"/>
    <n v="0"/>
    <n v="0"/>
    <n v="61.7"/>
  </r>
  <r>
    <x v="282"/>
    <d v="2025-01-21T00:00:00"/>
    <x v="0"/>
    <s v="South"/>
    <s v="Mobile"/>
    <s v="Social"/>
    <s v="Free"/>
    <n v="1"/>
    <n v="0"/>
    <n v="0"/>
    <n v="0"/>
    <n v="0"/>
    <n v="1"/>
    <n v="0"/>
    <n v="0"/>
    <n v="70.5"/>
  </r>
  <r>
    <x v="283"/>
    <d v="2025-02-10T00:00:00"/>
    <x v="0"/>
    <s v="North"/>
    <s v="Desktop"/>
    <s v="Referral"/>
    <s v="Basic"/>
    <n v="1"/>
    <n v="0"/>
    <n v="0"/>
    <n v="0"/>
    <n v="0"/>
    <n v="0"/>
    <n v="0"/>
    <n v="0"/>
    <n v="33.4"/>
  </r>
  <r>
    <x v="284"/>
    <d v="2025-05-06T00:00:00"/>
    <x v="0"/>
    <s v="South"/>
    <s v="Desktop"/>
    <s v="Organic"/>
    <s v="Free"/>
    <n v="1"/>
    <n v="0"/>
    <n v="0"/>
    <n v="0"/>
    <n v="0"/>
    <n v="0"/>
    <n v="0"/>
    <n v="0"/>
    <n v="57.5"/>
  </r>
  <r>
    <x v="285"/>
    <d v="2025-02-08T00:00:00"/>
    <x v="0"/>
    <s v="North"/>
    <s v="Desktop"/>
    <s v="Paid Search"/>
    <s v="Basic"/>
    <n v="1"/>
    <n v="1"/>
    <n v="0"/>
    <n v="0"/>
    <n v="0"/>
    <n v="0"/>
    <n v="0"/>
    <n v="0"/>
    <n v="85.7"/>
  </r>
  <r>
    <x v="286"/>
    <d v="2025-05-31T00:00:00"/>
    <x v="0"/>
    <s v="East"/>
    <s v="Mobile"/>
    <s v="Social"/>
    <s v="Free"/>
    <n v="1"/>
    <n v="0"/>
    <n v="0"/>
    <n v="0"/>
    <n v="0"/>
    <n v="0"/>
    <n v="0"/>
    <n v="0"/>
    <n v="41.9"/>
  </r>
  <r>
    <x v="287"/>
    <d v="2025-02-07T00:00:00"/>
    <x v="0"/>
    <s v="West"/>
    <s v="Mobile"/>
    <s v="Email"/>
    <s v="Basic"/>
    <n v="1"/>
    <n v="0"/>
    <n v="0"/>
    <n v="0"/>
    <n v="0"/>
    <n v="0"/>
    <n v="0"/>
    <n v="0"/>
    <n v="70.2"/>
  </r>
  <r>
    <x v="288"/>
    <d v="2025-02-10T00:00:00"/>
    <x v="0"/>
    <s v="North"/>
    <s v="Mobile"/>
    <s v="Social"/>
    <s v="Free"/>
    <n v="1"/>
    <n v="0"/>
    <n v="0"/>
    <n v="0"/>
    <n v="0"/>
    <n v="0"/>
    <n v="0"/>
    <n v="0"/>
    <n v="42.6"/>
  </r>
  <r>
    <x v="289"/>
    <d v="2025-01-31T00:00:00"/>
    <x v="0"/>
    <s v="West"/>
    <s v="Mobile"/>
    <s v="Social"/>
    <s v="Basic"/>
    <n v="0"/>
    <n v="0"/>
    <n v="0"/>
    <n v="0"/>
    <n v="0"/>
    <n v="2"/>
    <n v="0"/>
    <n v="0"/>
    <n v="30.4"/>
  </r>
  <r>
    <x v="290"/>
    <d v="2025-03-16T00:00:00"/>
    <x v="0"/>
    <s v="East"/>
    <s v="Mobile"/>
    <s v="Paid Search"/>
    <s v="Basic"/>
    <n v="1"/>
    <n v="0"/>
    <n v="0"/>
    <n v="0"/>
    <n v="0"/>
    <n v="0"/>
    <n v="0"/>
    <n v="0"/>
    <n v="63.7"/>
  </r>
  <r>
    <x v="291"/>
    <d v="2025-04-24T00:00:00"/>
    <x v="0"/>
    <s v="South"/>
    <s v="Mobile"/>
    <s v="Social"/>
    <s v="Basic"/>
    <n v="0"/>
    <n v="0"/>
    <n v="0"/>
    <n v="0"/>
    <n v="0"/>
    <n v="0"/>
    <n v="0"/>
    <n v="0"/>
    <n v="42.7"/>
  </r>
  <r>
    <x v="292"/>
    <d v="2025-01-28T00:00:00"/>
    <x v="0"/>
    <s v="North"/>
    <s v="Mobile"/>
    <s v="Organic"/>
    <s v="Free"/>
    <n v="0"/>
    <n v="0"/>
    <n v="0"/>
    <n v="0"/>
    <n v="0"/>
    <n v="0"/>
    <n v="0"/>
    <n v="0"/>
    <n v="74.3"/>
  </r>
  <r>
    <x v="293"/>
    <d v="2025-02-16T00:00:00"/>
    <x v="0"/>
    <s v="West"/>
    <s v="Desktop"/>
    <s v="Email"/>
    <s v="Free"/>
    <n v="1"/>
    <n v="0"/>
    <n v="0"/>
    <n v="0"/>
    <n v="0"/>
    <n v="0"/>
    <n v="0"/>
    <n v="0"/>
    <n v="40.6"/>
  </r>
  <r>
    <x v="294"/>
    <d v="2025-03-23T00:00:00"/>
    <x v="0"/>
    <s v="East"/>
    <s v="Mobile"/>
    <s v="Organic"/>
    <s v="Premium"/>
    <n v="0"/>
    <n v="0"/>
    <n v="0"/>
    <n v="0"/>
    <n v="0"/>
    <n v="0"/>
    <n v="0"/>
    <n v="0"/>
    <n v="67"/>
  </r>
  <r>
    <x v="295"/>
    <d v="2025-05-31T00:00:00"/>
    <x v="0"/>
    <s v="East"/>
    <s v="Mobile"/>
    <s v="Paid Search"/>
    <s v="Premium"/>
    <n v="0"/>
    <n v="0"/>
    <n v="0"/>
    <n v="0"/>
    <n v="0"/>
    <n v="0"/>
    <n v="0"/>
    <n v="0"/>
    <n v="51"/>
  </r>
  <r>
    <x v="296"/>
    <d v="2025-04-13T00:00:00"/>
    <x v="0"/>
    <s v="West"/>
    <s v="Mobile"/>
    <s v="Social"/>
    <s v="Basic"/>
    <n v="1"/>
    <n v="1"/>
    <n v="0"/>
    <n v="0"/>
    <n v="0"/>
    <n v="1"/>
    <n v="0"/>
    <n v="0"/>
    <n v="54.8"/>
  </r>
  <r>
    <x v="297"/>
    <d v="2025-05-14T00:00:00"/>
    <x v="0"/>
    <s v="North"/>
    <s v="Tablet"/>
    <s v="Email"/>
    <s v="Basic"/>
    <n v="0"/>
    <n v="0"/>
    <n v="0"/>
    <n v="0"/>
    <n v="0"/>
    <n v="0"/>
    <n v="0"/>
    <n v="0"/>
    <n v="40.799999999999997"/>
  </r>
  <r>
    <x v="298"/>
    <d v="2025-02-19T00:00:00"/>
    <x v="0"/>
    <s v="East"/>
    <s v="Mobile"/>
    <s v="Paid Search"/>
    <s v="Free"/>
    <n v="0"/>
    <n v="0"/>
    <n v="0"/>
    <n v="0"/>
    <n v="0"/>
    <n v="0"/>
    <n v="0"/>
    <n v="0"/>
    <n v="48.8"/>
  </r>
  <r>
    <x v="299"/>
    <d v="2025-01-24T00:00:00"/>
    <x v="0"/>
    <s v="South"/>
    <s v="Mobile"/>
    <s v="Unknown"/>
    <s v="Basic"/>
    <n v="1"/>
    <n v="1"/>
    <n v="1"/>
    <n v="1"/>
    <n v="1198.69"/>
    <n v="1"/>
    <n v="0"/>
    <n v="6"/>
    <n v="88.9"/>
  </r>
  <r>
    <x v="300"/>
    <d v="2025-05-09T00:00:00"/>
    <x v="0"/>
    <s v="North"/>
    <s v="Mobile"/>
    <s v="Email"/>
    <s v="Basic"/>
    <n v="1"/>
    <n v="1"/>
    <n v="1"/>
    <n v="0"/>
    <n v="0"/>
    <n v="1"/>
    <n v="0"/>
    <n v="0"/>
    <n v="60.5"/>
  </r>
  <r>
    <x v="301"/>
    <d v="2025-02-11T00:00:00"/>
    <x v="0"/>
    <s v="North"/>
    <s v="Mobile"/>
    <s v="Organic"/>
    <s v="Basic"/>
    <n v="1"/>
    <n v="0"/>
    <n v="0"/>
    <n v="0"/>
    <n v="0"/>
    <n v="0"/>
    <n v="0"/>
    <n v="0"/>
    <n v="63.6"/>
  </r>
  <r>
    <x v="302"/>
    <d v="2025-02-26T00:00:00"/>
    <x v="0"/>
    <s v="North"/>
    <s v="Desktop"/>
    <s v="Organic"/>
    <s v="Basic"/>
    <n v="1"/>
    <n v="1"/>
    <n v="1"/>
    <n v="1"/>
    <n v="6788.95"/>
    <n v="0"/>
    <n v="0"/>
    <n v="17"/>
    <n v="58.4"/>
  </r>
  <r>
    <x v="303"/>
    <d v="2025-02-12T00:00:00"/>
    <x v="0"/>
    <s v="South"/>
    <s v="Mobile"/>
    <s v="Social"/>
    <s v="Premium"/>
    <n v="0"/>
    <n v="0"/>
    <n v="0"/>
    <n v="0"/>
    <n v="0"/>
    <n v="0"/>
    <n v="0"/>
    <n v="0"/>
    <n v="52.7"/>
  </r>
  <r>
    <x v="304"/>
    <d v="2025-01-05T00:00:00"/>
    <x v="0"/>
    <s v="South"/>
    <s v="Tablet"/>
    <s v="Social"/>
    <s v="Premium"/>
    <n v="1"/>
    <n v="1"/>
    <n v="1"/>
    <n v="0"/>
    <n v="0"/>
    <n v="2"/>
    <n v="0"/>
    <n v="0"/>
    <n v="48.9"/>
  </r>
  <r>
    <x v="305"/>
    <d v="2025-05-19T00:00:00"/>
    <x v="0"/>
    <s v="West"/>
    <s v="Mobile"/>
    <s v="Organic"/>
    <s v="Premium"/>
    <n v="0"/>
    <n v="0"/>
    <n v="0"/>
    <n v="0"/>
    <n v="0"/>
    <n v="0"/>
    <n v="0"/>
    <n v="0"/>
    <n v="79.7"/>
  </r>
  <r>
    <x v="306"/>
    <d v="2025-02-02T00:00:00"/>
    <x v="0"/>
    <s v="North"/>
    <s v="Mobile"/>
    <s v="Social"/>
    <s v="Free"/>
    <n v="1"/>
    <n v="0"/>
    <n v="0"/>
    <n v="0"/>
    <n v="0"/>
    <n v="0"/>
    <n v="0"/>
    <n v="0"/>
    <n v="44.9"/>
  </r>
  <r>
    <x v="307"/>
    <d v="2025-01-30T00:00:00"/>
    <x v="0"/>
    <s v="West"/>
    <s v="Tablet"/>
    <s v="Paid Search"/>
    <s v="Free"/>
    <n v="1"/>
    <n v="1"/>
    <n v="1"/>
    <n v="1"/>
    <n v="409.39"/>
    <n v="0"/>
    <n v="0"/>
    <n v="10"/>
    <n v="38.799999999999997"/>
  </r>
  <r>
    <x v="308"/>
    <d v="2025-05-01T00:00:00"/>
    <x v="0"/>
    <s v="South"/>
    <s v="Desktop"/>
    <s v="Email"/>
    <s v="Free"/>
    <n v="0"/>
    <n v="0"/>
    <n v="0"/>
    <n v="0"/>
    <n v="0"/>
    <n v="0"/>
    <n v="0"/>
    <n v="0"/>
    <n v="70"/>
  </r>
  <r>
    <x v="309"/>
    <d v="2025-05-16T00:00:00"/>
    <x v="0"/>
    <s v="South"/>
    <s v="Desktop"/>
    <s v="Referral"/>
    <s v="Basic"/>
    <n v="1"/>
    <n v="0"/>
    <n v="0"/>
    <n v="0"/>
    <n v="0"/>
    <n v="0"/>
    <n v="0"/>
    <n v="0"/>
    <n v="77.7"/>
  </r>
  <r>
    <x v="310"/>
    <d v="2025-03-08T00:00:00"/>
    <x v="0"/>
    <s v="West"/>
    <s v="Mobile"/>
    <s v="Organic"/>
    <s v="Free"/>
    <n v="0"/>
    <n v="0"/>
    <n v="0"/>
    <n v="0"/>
    <n v="0"/>
    <n v="0"/>
    <n v="0"/>
    <n v="0"/>
    <n v="71.2"/>
  </r>
  <r>
    <x v="311"/>
    <d v="2025-04-04T00:00:00"/>
    <x v="0"/>
    <s v="North"/>
    <s v="Mobile"/>
    <s v="Organic"/>
    <s v="Basic"/>
    <n v="1"/>
    <n v="0"/>
    <n v="0"/>
    <n v="0"/>
    <n v="0"/>
    <n v="0"/>
    <n v="0"/>
    <n v="0"/>
    <n v="43.8"/>
  </r>
  <r>
    <x v="312"/>
    <d v="2025-05-30T00:00:00"/>
    <x v="0"/>
    <s v="South"/>
    <s v="Tablet"/>
    <s v="Organic"/>
    <s v="Free"/>
    <n v="1"/>
    <n v="0"/>
    <n v="0"/>
    <n v="0"/>
    <n v="0"/>
    <n v="0"/>
    <n v="0"/>
    <n v="0"/>
    <n v="50.9"/>
  </r>
  <r>
    <x v="313"/>
    <d v="2025-01-05T00:00:00"/>
    <x v="0"/>
    <s v="West"/>
    <s v="Mobile"/>
    <s v="Organic"/>
    <s v="Premium"/>
    <n v="0"/>
    <n v="0"/>
    <n v="0"/>
    <n v="0"/>
    <n v="0"/>
    <n v="0"/>
    <n v="0"/>
    <n v="0"/>
    <n v="58.5"/>
  </r>
  <r>
    <x v="314"/>
    <d v="2025-01-20T00:00:00"/>
    <x v="0"/>
    <s v="East"/>
    <s v="Mobile"/>
    <s v="Organic"/>
    <s v="Free"/>
    <n v="1"/>
    <n v="1"/>
    <n v="1"/>
    <n v="0"/>
    <n v="0"/>
    <n v="0"/>
    <n v="0"/>
    <n v="0"/>
    <n v="53.6"/>
  </r>
  <r>
    <x v="315"/>
    <d v="2025-05-01T00:00:00"/>
    <x v="0"/>
    <s v="East"/>
    <s v="Mobile"/>
    <s v="Email"/>
    <s v="Free"/>
    <n v="0"/>
    <n v="0"/>
    <n v="0"/>
    <n v="0"/>
    <n v="0"/>
    <n v="0"/>
    <n v="0"/>
    <n v="0"/>
    <n v="54.9"/>
  </r>
  <r>
    <x v="316"/>
    <d v="2025-03-05T00:00:00"/>
    <x v="0"/>
    <s v="North"/>
    <s v="Desktop"/>
    <s v="Organic"/>
    <s v="Premium"/>
    <n v="0"/>
    <n v="0"/>
    <n v="0"/>
    <n v="0"/>
    <n v="0"/>
    <n v="0"/>
    <n v="0"/>
    <n v="0"/>
    <n v="57.3"/>
  </r>
  <r>
    <x v="317"/>
    <d v="2025-04-01T00:00:00"/>
    <x v="0"/>
    <s v="East"/>
    <s v="Desktop"/>
    <s v="Referral"/>
    <s v="Free"/>
    <n v="1"/>
    <n v="0"/>
    <n v="0"/>
    <n v="0"/>
    <n v="0"/>
    <n v="0"/>
    <n v="0"/>
    <n v="0"/>
    <n v="52.1"/>
  </r>
  <r>
    <x v="318"/>
    <d v="2025-05-03T00:00:00"/>
    <x v="0"/>
    <s v="North"/>
    <s v="Mobile"/>
    <s v="Organic"/>
    <s v="Free"/>
    <n v="1"/>
    <n v="0"/>
    <n v="0"/>
    <n v="0"/>
    <n v="0"/>
    <n v="0"/>
    <n v="0"/>
    <n v="0"/>
    <n v="80"/>
  </r>
  <r>
    <x v="319"/>
    <d v="2025-03-06T00:00:00"/>
    <x v="0"/>
    <s v="South"/>
    <s v="Desktop"/>
    <s v="Paid Search"/>
    <s v="Premium"/>
    <n v="1"/>
    <n v="0"/>
    <n v="0"/>
    <n v="0"/>
    <n v="0"/>
    <n v="0"/>
    <n v="0"/>
    <n v="0"/>
    <n v="39.299999999999997"/>
  </r>
  <r>
    <x v="320"/>
    <d v="2025-04-01T00:00:00"/>
    <x v="0"/>
    <s v="North"/>
    <s v="Desktop"/>
    <s v="Referral"/>
    <s v="Premium"/>
    <n v="0"/>
    <n v="0"/>
    <n v="0"/>
    <n v="0"/>
    <n v="0"/>
    <n v="0"/>
    <n v="0"/>
    <n v="0"/>
    <n v="45.7"/>
  </r>
  <r>
    <x v="321"/>
    <d v="2025-02-09T00:00:00"/>
    <x v="0"/>
    <s v="North"/>
    <s v="Desktop"/>
    <s v="Social"/>
    <s v="Basic"/>
    <n v="1"/>
    <n v="0"/>
    <n v="0"/>
    <n v="0"/>
    <n v="0"/>
    <n v="2"/>
    <n v="0"/>
    <n v="0"/>
    <n v="61.2"/>
  </r>
  <r>
    <x v="322"/>
    <d v="2025-04-12T00:00:00"/>
    <x v="0"/>
    <s v="West"/>
    <s v="Mobile"/>
    <s v="Organic"/>
    <s v="Basic"/>
    <n v="1"/>
    <n v="1"/>
    <n v="0"/>
    <n v="0"/>
    <n v="0"/>
    <n v="0"/>
    <n v="0"/>
    <n v="0"/>
    <n v="66.2"/>
  </r>
  <r>
    <x v="323"/>
    <d v="2025-03-18T00:00:00"/>
    <x v="0"/>
    <s v="East"/>
    <s v="Mobile"/>
    <s v="Social"/>
    <s v="Free"/>
    <n v="1"/>
    <n v="1"/>
    <n v="1"/>
    <n v="0"/>
    <n v="0"/>
    <n v="0"/>
    <n v="0"/>
    <n v="0"/>
    <n v="61.3"/>
  </r>
  <r>
    <x v="324"/>
    <d v="2025-04-03T00:00:00"/>
    <x v="0"/>
    <s v="East"/>
    <s v="Mobile"/>
    <s v="Paid Search"/>
    <s v="Free"/>
    <n v="1"/>
    <n v="0"/>
    <n v="0"/>
    <n v="0"/>
    <n v="0"/>
    <n v="0"/>
    <n v="0"/>
    <n v="0"/>
    <n v="72.2"/>
  </r>
  <r>
    <x v="325"/>
    <d v="2025-04-02T00:00:00"/>
    <x v="0"/>
    <s v="West"/>
    <s v="Mobile"/>
    <s v="Email"/>
    <s v="Premium"/>
    <n v="1"/>
    <n v="1"/>
    <n v="1"/>
    <n v="0"/>
    <n v="0"/>
    <n v="0"/>
    <n v="0"/>
    <n v="0"/>
    <n v="84"/>
  </r>
  <r>
    <x v="326"/>
    <d v="2025-05-10T00:00:00"/>
    <x v="0"/>
    <s v="West"/>
    <s v="Desktop"/>
    <s v="Email"/>
    <s v="Basic"/>
    <n v="0"/>
    <n v="0"/>
    <n v="0"/>
    <n v="0"/>
    <n v="0"/>
    <n v="0"/>
    <n v="0"/>
    <n v="0"/>
    <n v="59.8"/>
  </r>
  <r>
    <x v="327"/>
    <d v="2025-04-29T00:00:00"/>
    <x v="0"/>
    <s v="West"/>
    <s v="Desktop"/>
    <s v="Paid Search"/>
    <s v="Free"/>
    <n v="1"/>
    <n v="0"/>
    <n v="0"/>
    <n v="0"/>
    <n v="0"/>
    <n v="0"/>
    <n v="0"/>
    <n v="0"/>
    <n v="64.900000000000006"/>
  </r>
  <r>
    <x v="328"/>
    <d v="2025-02-27T00:00:00"/>
    <x v="0"/>
    <s v="South"/>
    <s v="Mobile"/>
    <s v="Paid Search"/>
    <s v="Free"/>
    <n v="1"/>
    <n v="0"/>
    <n v="0"/>
    <n v="0"/>
    <n v="0"/>
    <n v="0"/>
    <n v="0"/>
    <n v="0"/>
    <n v="66.8"/>
  </r>
  <r>
    <x v="329"/>
    <d v="2025-04-10T00:00:00"/>
    <x v="0"/>
    <s v="North"/>
    <s v="Desktop"/>
    <s v="Organic"/>
    <s v="Premium"/>
    <n v="0"/>
    <n v="0"/>
    <n v="0"/>
    <n v="0"/>
    <n v="0"/>
    <n v="0"/>
    <n v="0"/>
    <n v="0"/>
    <n v="70.900000000000006"/>
  </r>
  <r>
    <x v="330"/>
    <d v="2025-02-13T00:00:00"/>
    <x v="0"/>
    <s v="East"/>
    <s v="Mobile"/>
    <s v="Organic"/>
    <s v="Free"/>
    <n v="1"/>
    <n v="1"/>
    <n v="1"/>
    <n v="1"/>
    <n v="426.82"/>
    <n v="1"/>
    <n v="0"/>
    <n v="14"/>
    <n v="68.8"/>
  </r>
  <r>
    <x v="331"/>
    <d v="2025-05-03T00:00:00"/>
    <x v="0"/>
    <s v="North"/>
    <s v="Mobile"/>
    <s v="Organic"/>
    <s v="Basic"/>
    <n v="1"/>
    <n v="0"/>
    <n v="0"/>
    <n v="0"/>
    <n v="0"/>
    <n v="0"/>
    <n v="0"/>
    <n v="0"/>
    <n v="72.400000000000006"/>
  </r>
  <r>
    <x v="332"/>
    <d v="2025-03-10T00:00:00"/>
    <x v="0"/>
    <s v="East"/>
    <s v="Mobile"/>
    <s v="Organic"/>
    <s v="Basic"/>
    <n v="0"/>
    <n v="0"/>
    <n v="0"/>
    <n v="0"/>
    <n v="0"/>
    <n v="0"/>
    <n v="0"/>
    <n v="0"/>
    <n v="63.3"/>
  </r>
  <r>
    <x v="333"/>
    <d v="2025-01-10T00:00:00"/>
    <x v="0"/>
    <s v="West"/>
    <s v="Tablet"/>
    <s v="Social"/>
    <s v="Free"/>
    <n v="1"/>
    <n v="0"/>
    <n v="0"/>
    <n v="0"/>
    <n v="0"/>
    <n v="0"/>
    <n v="0"/>
    <n v="0"/>
    <n v="30.8"/>
  </r>
  <r>
    <x v="334"/>
    <d v="2025-01-16T00:00:00"/>
    <x v="0"/>
    <s v="South"/>
    <s v="Mobile"/>
    <s v="Email"/>
    <s v="Basic"/>
    <n v="1"/>
    <n v="1"/>
    <n v="1"/>
    <n v="1"/>
    <n v="874.55"/>
    <n v="0"/>
    <n v="0"/>
    <n v="9"/>
    <n v="44.2"/>
  </r>
  <r>
    <x v="335"/>
    <d v="2025-02-11T00:00:00"/>
    <x v="0"/>
    <s v="South"/>
    <s v="Desktop"/>
    <s v="Organic"/>
    <s v="Premium"/>
    <n v="1"/>
    <n v="1"/>
    <n v="1"/>
    <n v="1"/>
    <n v="2206.88"/>
    <n v="0"/>
    <n v="0"/>
    <n v="10"/>
    <n v="56.2"/>
  </r>
  <r>
    <x v="336"/>
    <d v="2025-04-13T00:00:00"/>
    <x v="0"/>
    <s v="West"/>
    <s v="Mobile"/>
    <s v="Organic"/>
    <s v="Free"/>
    <n v="0"/>
    <n v="0"/>
    <n v="0"/>
    <n v="0"/>
    <n v="0"/>
    <n v="0"/>
    <n v="0"/>
    <n v="0"/>
    <n v="40.4"/>
  </r>
  <r>
    <x v="337"/>
    <d v="2025-02-08T00:00:00"/>
    <x v="0"/>
    <s v="East"/>
    <s v="Mobile"/>
    <s v="Paid Search"/>
    <s v="Free"/>
    <n v="1"/>
    <n v="1"/>
    <n v="1"/>
    <n v="0"/>
    <n v="0"/>
    <n v="0"/>
    <n v="0"/>
    <n v="0"/>
    <n v="68.099999999999994"/>
  </r>
  <r>
    <x v="338"/>
    <d v="2025-03-31T00:00:00"/>
    <x v="0"/>
    <s v="West"/>
    <s v="Desktop"/>
    <s v="Referral"/>
    <s v="Free"/>
    <n v="1"/>
    <n v="0"/>
    <n v="0"/>
    <n v="0"/>
    <n v="0"/>
    <n v="0"/>
    <n v="0"/>
    <n v="0"/>
    <n v="86.3"/>
  </r>
  <r>
    <x v="339"/>
    <d v="2025-01-31T00:00:00"/>
    <x v="0"/>
    <s v="West"/>
    <s v="Desktop"/>
    <s v="Referral"/>
    <s v="Free"/>
    <n v="1"/>
    <n v="1"/>
    <n v="0"/>
    <n v="0"/>
    <n v="0"/>
    <n v="0"/>
    <n v="0"/>
    <n v="0"/>
    <n v="42.9"/>
  </r>
  <r>
    <x v="340"/>
    <d v="2025-05-08T00:00:00"/>
    <x v="0"/>
    <s v="West"/>
    <s v="Tablet"/>
    <s v="Organic"/>
    <s v="Free"/>
    <n v="0"/>
    <n v="0"/>
    <n v="0"/>
    <n v="0"/>
    <n v="0"/>
    <n v="0"/>
    <n v="0"/>
    <n v="0"/>
    <n v="61.4"/>
  </r>
  <r>
    <x v="341"/>
    <d v="2025-03-15T00:00:00"/>
    <x v="0"/>
    <s v="North"/>
    <s v="Mobile"/>
    <s v="Paid Search"/>
    <s v="Free"/>
    <n v="1"/>
    <n v="0"/>
    <n v="0"/>
    <n v="0"/>
    <n v="0"/>
    <n v="1"/>
    <n v="0"/>
    <n v="0"/>
    <n v="73.3"/>
  </r>
  <r>
    <x v="342"/>
    <d v="2025-01-13T00:00:00"/>
    <x v="0"/>
    <s v="South"/>
    <s v="Mobile"/>
    <s v="Referral"/>
    <s v="Basic"/>
    <n v="1"/>
    <n v="0"/>
    <n v="0"/>
    <n v="0"/>
    <n v="0"/>
    <n v="0"/>
    <n v="0"/>
    <n v="0"/>
    <n v="59.4"/>
  </r>
  <r>
    <x v="343"/>
    <d v="2025-03-07T00:00:00"/>
    <x v="0"/>
    <s v="South"/>
    <s v="Tablet"/>
    <s v="Organic"/>
    <s v="Basic"/>
    <n v="1"/>
    <n v="0"/>
    <n v="0"/>
    <n v="0"/>
    <n v="0"/>
    <n v="0"/>
    <n v="0"/>
    <n v="0"/>
    <n v="35.200000000000003"/>
  </r>
  <r>
    <x v="344"/>
    <d v="2025-02-10T00:00:00"/>
    <x v="0"/>
    <s v="South"/>
    <s v="Mobile"/>
    <s v="Social"/>
    <s v="Premium"/>
    <n v="1"/>
    <n v="1"/>
    <n v="0"/>
    <n v="0"/>
    <n v="0"/>
    <n v="0"/>
    <n v="0"/>
    <n v="0"/>
    <n v="55.3"/>
  </r>
  <r>
    <x v="345"/>
    <d v="2025-03-12T00:00:00"/>
    <x v="0"/>
    <s v="East"/>
    <s v="Mobile"/>
    <s v="Paid Search"/>
    <s v="Free"/>
    <n v="0"/>
    <n v="0"/>
    <n v="0"/>
    <n v="0"/>
    <n v="0"/>
    <n v="0"/>
    <n v="0"/>
    <n v="0"/>
    <n v="37.5"/>
  </r>
  <r>
    <x v="346"/>
    <d v="2025-01-03T00:00:00"/>
    <x v="0"/>
    <s v="South"/>
    <s v="Desktop"/>
    <s v="Paid Search"/>
    <s v="Free"/>
    <n v="0"/>
    <n v="0"/>
    <n v="0"/>
    <n v="0"/>
    <n v="0"/>
    <n v="1"/>
    <n v="0"/>
    <n v="0"/>
    <n v="66.400000000000006"/>
  </r>
  <r>
    <x v="347"/>
    <d v="2025-04-28T00:00:00"/>
    <x v="0"/>
    <s v="North"/>
    <s v="Tablet"/>
    <s v="Social"/>
    <s v="Basic"/>
    <n v="1"/>
    <n v="0"/>
    <n v="0"/>
    <n v="0"/>
    <n v="0"/>
    <n v="0"/>
    <n v="0"/>
    <n v="0"/>
    <n v="61.9"/>
  </r>
  <r>
    <x v="348"/>
    <d v="2025-04-17T00:00:00"/>
    <x v="0"/>
    <s v="East"/>
    <s v="Mobile"/>
    <s v="Organic"/>
    <s v="Free"/>
    <n v="0"/>
    <n v="0"/>
    <n v="0"/>
    <n v="0"/>
    <n v="0"/>
    <n v="0"/>
    <n v="0"/>
    <n v="0"/>
    <n v="56"/>
  </r>
  <r>
    <x v="349"/>
    <d v="2025-05-23T00:00:00"/>
    <x v="0"/>
    <s v="South"/>
    <s v="Desktop"/>
    <s v="Social"/>
    <s v="Basic"/>
    <n v="1"/>
    <n v="0"/>
    <n v="0"/>
    <n v="0"/>
    <n v="0"/>
    <n v="0"/>
    <n v="0"/>
    <n v="0"/>
    <n v="55.5"/>
  </r>
  <r>
    <x v="350"/>
    <d v="2025-02-19T00:00:00"/>
    <x v="0"/>
    <s v="West"/>
    <s v="Tablet"/>
    <s v="Referral"/>
    <s v="Basic"/>
    <n v="1"/>
    <n v="0"/>
    <n v="0"/>
    <n v="0"/>
    <n v="0"/>
    <n v="0"/>
    <n v="0"/>
    <n v="0"/>
    <n v="37.200000000000003"/>
  </r>
  <r>
    <x v="351"/>
    <d v="2025-01-18T00:00:00"/>
    <x v="0"/>
    <s v="South"/>
    <s v="Desktop"/>
    <s v="Organic"/>
    <s v="Free"/>
    <n v="1"/>
    <n v="1"/>
    <n v="0"/>
    <n v="0"/>
    <n v="0"/>
    <n v="1"/>
    <n v="0"/>
    <n v="0"/>
    <n v="70.5"/>
  </r>
  <r>
    <x v="352"/>
    <d v="2025-04-17T00:00:00"/>
    <x v="0"/>
    <s v="North"/>
    <s v="Mobile"/>
    <s v="Organic"/>
    <s v="Free"/>
    <n v="0"/>
    <n v="0"/>
    <n v="0"/>
    <n v="0"/>
    <n v="0"/>
    <n v="0"/>
    <n v="0"/>
    <n v="0"/>
    <n v="61.2"/>
  </r>
  <r>
    <x v="353"/>
    <d v="2025-04-12T00:00:00"/>
    <x v="0"/>
    <s v="East"/>
    <s v="Tablet"/>
    <s v="Social"/>
    <s v="Free"/>
    <n v="1"/>
    <n v="1"/>
    <n v="1"/>
    <n v="0"/>
    <n v="0"/>
    <n v="0"/>
    <n v="0"/>
    <n v="0"/>
    <n v="64.599999999999994"/>
  </r>
  <r>
    <x v="354"/>
    <d v="2025-05-16T00:00:00"/>
    <x v="0"/>
    <s v="East"/>
    <s v="Mobile"/>
    <s v="Email"/>
    <s v="Free"/>
    <n v="1"/>
    <n v="1"/>
    <n v="0"/>
    <n v="0"/>
    <n v="0"/>
    <n v="0"/>
    <n v="0"/>
    <n v="0"/>
    <n v="91.7"/>
  </r>
  <r>
    <x v="355"/>
    <d v="2025-03-24T00:00:00"/>
    <x v="0"/>
    <s v="West"/>
    <s v="Mobile"/>
    <s v="Social"/>
    <s v="Free"/>
    <n v="0"/>
    <n v="0"/>
    <n v="0"/>
    <n v="0"/>
    <n v="0"/>
    <n v="0"/>
    <n v="0"/>
    <n v="0"/>
    <n v="46"/>
  </r>
  <r>
    <x v="356"/>
    <d v="2025-02-16T00:00:00"/>
    <x v="0"/>
    <s v="West"/>
    <s v="Mobile"/>
    <s v="Organic"/>
    <s v="Basic"/>
    <n v="0"/>
    <n v="0"/>
    <n v="0"/>
    <n v="0"/>
    <n v="0"/>
    <n v="0"/>
    <n v="0"/>
    <n v="0"/>
    <n v="50.8"/>
  </r>
  <r>
    <x v="357"/>
    <d v="2025-03-19T00:00:00"/>
    <x v="0"/>
    <s v="North"/>
    <s v="Tablet"/>
    <s v="Organic"/>
    <s v="Free"/>
    <n v="1"/>
    <n v="1"/>
    <n v="1"/>
    <n v="0"/>
    <n v="0"/>
    <n v="0"/>
    <n v="0"/>
    <n v="0"/>
    <n v="52.8"/>
  </r>
  <r>
    <x v="358"/>
    <d v="2025-04-21T00:00:00"/>
    <x v="0"/>
    <s v="South"/>
    <s v="Mobile"/>
    <s v="Organic"/>
    <s v="Basic"/>
    <n v="1"/>
    <n v="1"/>
    <n v="1"/>
    <n v="0"/>
    <n v="0"/>
    <n v="0"/>
    <n v="0"/>
    <n v="0"/>
    <n v="63"/>
  </r>
  <r>
    <x v="359"/>
    <d v="2025-01-11T00:00:00"/>
    <x v="0"/>
    <s v="West"/>
    <s v="Mobile"/>
    <s v="Organic"/>
    <s v="Free"/>
    <n v="0"/>
    <n v="0"/>
    <n v="0"/>
    <n v="0"/>
    <n v="0"/>
    <n v="0"/>
    <n v="0"/>
    <n v="0"/>
    <n v="28.4"/>
  </r>
  <r>
    <x v="360"/>
    <d v="2025-04-24T00:00:00"/>
    <x v="0"/>
    <s v="West"/>
    <s v="Desktop"/>
    <s v="Organic"/>
    <s v="Free"/>
    <n v="1"/>
    <n v="1"/>
    <n v="0"/>
    <n v="0"/>
    <n v="0"/>
    <n v="0"/>
    <n v="0"/>
    <n v="0"/>
    <n v="65.599999999999994"/>
  </r>
  <r>
    <x v="361"/>
    <d v="2025-03-13T00:00:00"/>
    <x v="0"/>
    <s v="North"/>
    <s v="Mobile"/>
    <s v="Social"/>
    <s v="Premium"/>
    <n v="1"/>
    <n v="1"/>
    <n v="1"/>
    <n v="0"/>
    <n v="0"/>
    <n v="0"/>
    <n v="0"/>
    <n v="0"/>
    <n v="54.7"/>
  </r>
  <r>
    <x v="362"/>
    <d v="2025-01-30T00:00:00"/>
    <x v="0"/>
    <s v="North"/>
    <s v="Mobile"/>
    <s v="Social"/>
    <s v="Basic"/>
    <n v="0"/>
    <n v="0"/>
    <n v="0"/>
    <n v="0"/>
    <n v="0"/>
    <n v="0"/>
    <n v="0"/>
    <n v="0"/>
    <n v="36.1"/>
  </r>
  <r>
    <x v="363"/>
    <d v="2025-05-08T00:00:00"/>
    <x v="0"/>
    <s v="South"/>
    <s v="Mobile"/>
    <s v="Social"/>
    <s v="Basic"/>
    <n v="1"/>
    <n v="1"/>
    <n v="1"/>
    <n v="0"/>
    <n v="0"/>
    <n v="0"/>
    <n v="0"/>
    <n v="0"/>
    <n v="70.400000000000006"/>
  </r>
  <r>
    <x v="364"/>
    <d v="2025-01-08T00:00:00"/>
    <x v="0"/>
    <s v="East"/>
    <s v="Desktop"/>
    <s v="Social"/>
    <s v="Free"/>
    <n v="1"/>
    <n v="0"/>
    <n v="0"/>
    <n v="0"/>
    <n v="0"/>
    <n v="0"/>
    <n v="0"/>
    <n v="0"/>
    <n v="56.4"/>
  </r>
  <r>
    <x v="365"/>
    <d v="2025-05-03T00:00:00"/>
    <x v="0"/>
    <s v="South"/>
    <s v="Mobile"/>
    <s v="Organic"/>
    <s v="Free"/>
    <n v="1"/>
    <n v="0"/>
    <n v="0"/>
    <n v="0"/>
    <n v="0"/>
    <n v="0"/>
    <n v="0"/>
    <n v="0"/>
    <n v="79.2"/>
  </r>
  <r>
    <x v="366"/>
    <d v="2025-02-12T00:00:00"/>
    <x v="0"/>
    <s v="East"/>
    <s v="Mobile"/>
    <s v="Paid Search"/>
    <s v="Free"/>
    <n v="1"/>
    <n v="1"/>
    <n v="1"/>
    <n v="0"/>
    <n v="0"/>
    <n v="0"/>
    <n v="0"/>
    <n v="0"/>
    <n v="60.1"/>
  </r>
  <r>
    <x v="367"/>
    <d v="2025-02-25T00:00:00"/>
    <x v="0"/>
    <s v="South"/>
    <s v="Tablet"/>
    <s v="Organic"/>
    <s v="Free"/>
    <n v="0"/>
    <n v="0"/>
    <n v="0"/>
    <n v="0"/>
    <n v="0"/>
    <n v="0"/>
    <n v="0"/>
    <n v="0"/>
    <n v="58"/>
  </r>
  <r>
    <x v="368"/>
    <d v="2025-04-14T00:00:00"/>
    <x v="0"/>
    <s v="South"/>
    <s v="Mobile"/>
    <s v="Referral"/>
    <s v="Free"/>
    <n v="1"/>
    <n v="1"/>
    <n v="1"/>
    <n v="0"/>
    <n v="0"/>
    <n v="0"/>
    <n v="0"/>
    <n v="0"/>
    <n v="69"/>
  </r>
  <r>
    <x v="369"/>
    <d v="2025-01-08T00:00:00"/>
    <x v="0"/>
    <s v="North"/>
    <s v="Mobile"/>
    <s v="Referral"/>
    <s v="Premium"/>
    <n v="1"/>
    <n v="1"/>
    <n v="1"/>
    <n v="0"/>
    <n v="0"/>
    <n v="1"/>
    <n v="0"/>
    <n v="0"/>
    <n v="80.8"/>
  </r>
  <r>
    <x v="370"/>
    <d v="2025-03-14T00:00:00"/>
    <x v="0"/>
    <s v="East"/>
    <s v="Mobile"/>
    <s v="Email"/>
    <s v="Free"/>
    <n v="0"/>
    <n v="0"/>
    <n v="0"/>
    <n v="0"/>
    <n v="0"/>
    <n v="0"/>
    <n v="0"/>
    <n v="0"/>
    <n v="32.799999999999997"/>
  </r>
  <r>
    <x v="371"/>
    <d v="2025-04-29T00:00:00"/>
    <x v="0"/>
    <s v="North"/>
    <s v="Desktop"/>
    <s v="Paid Search"/>
    <s v="Premium"/>
    <n v="1"/>
    <n v="0"/>
    <n v="0"/>
    <n v="0"/>
    <n v="0"/>
    <n v="0"/>
    <n v="0"/>
    <n v="0"/>
    <n v="56"/>
  </r>
  <r>
    <x v="372"/>
    <d v="2025-05-01T00:00:00"/>
    <x v="0"/>
    <s v="East"/>
    <s v="Desktop"/>
    <s v="Social"/>
    <s v="Free"/>
    <n v="1"/>
    <n v="0"/>
    <n v="0"/>
    <n v="0"/>
    <n v="0"/>
    <n v="0"/>
    <n v="0"/>
    <n v="0"/>
    <n v="76.400000000000006"/>
  </r>
  <r>
    <x v="373"/>
    <d v="2025-03-19T00:00:00"/>
    <x v="0"/>
    <s v="North"/>
    <s v="Mobile"/>
    <s v="Referral"/>
    <s v="Free"/>
    <n v="1"/>
    <n v="0"/>
    <n v="0"/>
    <n v="0"/>
    <n v="0"/>
    <n v="0"/>
    <n v="0"/>
    <n v="0"/>
    <n v="28.5"/>
  </r>
  <r>
    <x v="374"/>
    <d v="2025-05-01T00:00:00"/>
    <x v="0"/>
    <s v="South"/>
    <s v="Desktop"/>
    <s v="Social"/>
    <s v="Basic"/>
    <n v="1"/>
    <n v="1"/>
    <n v="1"/>
    <n v="0"/>
    <n v="0"/>
    <n v="0"/>
    <n v="0"/>
    <n v="0"/>
    <n v="48.3"/>
  </r>
  <r>
    <x v="375"/>
    <d v="2025-03-14T00:00:00"/>
    <x v="0"/>
    <s v="West"/>
    <s v="Mobile"/>
    <s v="Organic"/>
    <s v="Free"/>
    <n v="1"/>
    <n v="1"/>
    <n v="0"/>
    <n v="0"/>
    <n v="0"/>
    <n v="0"/>
    <n v="0"/>
    <n v="0"/>
    <n v="43.4"/>
  </r>
  <r>
    <x v="376"/>
    <d v="2025-03-23T00:00:00"/>
    <x v="0"/>
    <s v="North"/>
    <s v="Mobile"/>
    <s v="Paid Search"/>
    <s v="Free"/>
    <n v="0"/>
    <n v="0"/>
    <n v="0"/>
    <n v="0"/>
    <n v="0"/>
    <n v="0"/>
    <n v="0"/>
    <n v="0"/>
    <n v="43"/>
  </r>
  <r>
    <x v="377"/>
    <d v="2025-02-08T00:00:00"/>
    <x v="0"/>
    <s v="East"/>
    <s v="Mobile"/>
    <s v="Referral"/>
    <s v="Basic"/>
    <n v="1"/>
    <n v="1"/>
    <n v="1"/>
    <n v="0"/>
    <n v="0"/>
    <n v="0"/>
    <n v="0"/>
    <n v="0"/>
    <n v="91.8"/>
  </r>
  <r>
    <x v="378"/>
    <d v="2025-04-15T00:00:00"/>
    <x v="0"/>
    <s v="West"/>
    <s v="Tablet"/>
    <s v="Paid Search"/>
    <s v="Basic"/>
    <n v="1"/>
    <n v="0"/>
    <n v="0"/>
    <n v="0"/>
    <n v="0"/>
    <n v="1"/>
    <n v="0"/>
    <n v="0"/>
    <n v="69.3"/>
  </r>
  <r>
    <x v="379"/>
    <d v="2025-01-03T00:00:00"/>
    <x v="0"/>
    <s v="South"/>
    <s v="Desktop"/>
    <s v="Paid Search"/>
    <s v="Basic"/>
    <n v="1"/>
    <n v="0"/>
    <n v="0"/>
    <n v="0"/>
    <n v="0"/>
    <n v="0"/>
    <n v="0"/>
    <n v="0"/>
    <n v="58.9"/>
  </r>
  <r>
    <x v="380"/>
    <d v="2025-03-23T00:00:00"/>
    <x v="0"/>
    <s v="West"/>
    <s v="Mobile"/>
    <s v="Social"/>
    <s v="Free"/>
    <n v="1"/>
    <n v="1"/>
    <n v="1"/>
    <n v="0"/>
    <n v="0"/>
    <n v="0"/>
    <n v="0"/>
    <n v="0"/>
    <n v="76"/>
  </r>
  <r>
    <x v="381"/>
    <d v="2025-05-27T00:00:00"/>
    <x v="0"/>
    <s v="South"/>
    <s v="Mobile"/>
    <s v="Referral"/>
    <s v="Premium"/>
    <n v="1"/>
    <n v="0"/>
    <n v="0"/>
    <n v="0"/>
    <n v="0"/>
    <n v="0"/>
    <n v="0"/>
    <n v="0"/>
    <n v="46"/>
  </r>
  <r>
    <x v="382"/>
    <d v="2025-04-30T00:00:00"/>
    <x v="0"/>
    <s v="East"/>
    <s v="Mobile"/>
    <s v="Organic"/>
    <s v="Free"/>
    <n v="1"/>
    <n v="0"/>
    <n v="0"/>
    <n v="0"/>
    <n v="0"/>
    <n v="0"/>
    <n v="0"/>
    <n v="0"/>
    <n v="54.1"/>
  </r>
  <r>
    <x v="383"/>
    <d v="2025-03-07T00:00:00"/>
    <x v="0"/>
    <s v="West"/>
    <s v="Mobile"/>
    <s v="Social"/>
    <s v="Basic"/>
    <n v="1"/>
    <n v="0"/>
    <n v="0"/>
    <n v="0"/>
    <n v="0"/>
    <n v="0"/>
    <n v="0"/>
    <n v="0"/>
    <n v="82.4"/>
  </r>
  <r>
    <x v="384"/>
    <d v="2025-05-10T00:00:00"/>
    <x v="0"/>
    <s v="South"/>
    <s v="Mobile"/>
    <s v="Organic"/>
    <s v="Basic"/>
    <n v="1"/>
    <n v="1"/>
    <n v="1"/>
    <n v="0"/>
    <n v="0"/>
    <n v="0"/>
    <n v="0"/>
    <n v="0"/>
    <n v="71.900000000000006"/>
  </r>
  <r>
    <x v="385"/>
    <d v="2025-05-22T00:00:00"/>
    <x v="0"/>
    <s v="East"/>
    <s v="Mobile"/>
    <s v="Organic"/>
    <s v="Free"/>
    <n v="0"/>
    <n v="0"/>
    <n v="0"/>
    <n v="0"/>
    <n v="0"/>
    <n v="2"/>
    <n v="0"/>
    <n v="0"/>
    <n v="38"/>
  </r>
  <r>
    <x v="386"/>
    <d v="2025-02-09T00:00:00"/>
    <x v="0"/>
    <s v="East"/>
    <s v="Mobile"/>
    <s v="Paid Search"/>
    <s v="Free"/>
    <n v="1"/>
    <n v="1"/>
    <n v="0"/>
    <n v="0"/>
    <n v="0"/>
    <n v="0"/>
    <n v="0"/>
    <n v="0"/>
    <n v="43.7"/>
  </r>
  <r>
    <x v="387"/>
    <d v="2025-05-30T00:00:00"/>
    <x v="0"/>
    <s v="West"/>
    <s v="Desktop"/>
    <s v="Organic"/>
    <s v="Premium"/>
    <n v="1"/>
    <n v="0"/>
    <n v="0"/>
    <n v="0"/>
    <n v="0"/>
    <n v="1"/>
    <n v="0"/>
    <n v="0"/>
    <n v="32.200000000000003"/>
  </r>
  <r>
    <x v="388"/>
    <d v="2025-05-01T00:00:00"/>
    <x v="0"/>
    <s v="South"/>
    <s v="Mobile"/>
    <s v="Organic"/>
    <s v="Premium"/>
    <n v="1"/>
    <n v="0"/>
    <n v="0"/>
    <n v="0"/>
    <n v="0"/>
    <n v="0"/>
    <n v="0"/>
    <n v="0"/>
    <n v="61"/>
  </r>
  <r>
    <x v="389"/>
    <d v="2025-01-03T00:00:00"/>
    <x v="0"/>
    <s v="South"/>
    <s v="Mobile"/>
    <s v="Paid Search"/>
    <s v="Free"/>
    <n v="1"/>
    <n v="0"/>
    <n v="0"/>
    <n v="0"/>
    <n v="0"/>
    <n v="0"/>
    <n v="0"/>
    <n v="0"/>
    <n v="49"/>
  </r>
  <r>
    <x v="390"/>
    <d v="2025-02-13T00:00:00"/>
    <x v="0"/>
    <s v="East"/>
    <s v="Mobile"/>
    <s v="Organic"/>
    <s v="Free"/>
    <n v="0"/>
    <n v="0"/>
    <n v="0"/>
    <n v="0"/>
    <n v="0"/>
    <n v="0"/>
    <n v="0"/>
    <n v="0"/>
    <n v="48.1"/>
  </r>
  <r>
    <x v="391"/>
    <d v="2025-01-14T00:00:00"/>
    <x v="0"/>
    <s v="South"/>
    <s v="Desktop"/>
    <s v="Organic"/>
    <s v="Free"/>
    <n v="0"/>
    <n v="0"/>
    <n v="0"/>
    <n v="0"/>
    <n v="0"/>
    <n v="2"/>
    <n v="0"/>
    <n v="0"/>
    <n v="46.3"/>
  </r>
  <r>
    <x v="392"/>
    <d v="2025-02-24T00:00:00"/>
    <x v="0"/>
    <s v="North"/>
    <s v="Mobile"/>
    <s v="Referral"/>
    <s v="Free"/>
    <n v="0"/>
    <n v="0"/>
    <n v="0"/>
    <n v="0"/>
    <n v="0"/>
    <n v="0"/>
    <n v="0"/>
    <n v="0"/>
    <n v="64"/>
  </r>
  <r>
    <x v="393"/>
    <d v="2025-05-16T00:00:00"/>
    <x v="0"/>
    <s v="West"/>
    <s v="Desktop"/>
    <s v="Organic"/>
    <s v="Basic"/>
    <n v="1"/>
    <n v="1"/>
    <n v="0"/>
    <n v="0"/>
    <n v="0"/>
    <n v="0"/>
    <n v="0"/>
    <n v="0"/>
    <n v="56.2"/>
  </r>
  <r>
    <x v="394"/>
    <d v="2025-04-29T00:00:00"/>
    <x v="0"/>
    <s v="North"/>
    <s v="Mobile"/>
    <s v="Paid Search"/>
    <s v="Free"/>
    <n v="1"/>
    <n v="1"/>
    <n v="1"/>
    <n v="0"/>
    <n v="0"/>
    <n v="0"/>
    <n v="0"/>
    <n v="0"/>
    <n v="77.5"/>
  </r>
  <r>
    <x v="395"/>
    <d v="2025-04-30T00:00:00"/>
    <x v="0"/>
    <s v="South"/>
    <s v="Desktop"/>
    <s v="Email"/>
    <s v="Basic"/>
    <n v="1"/>
    <n v="0"/>
    <n v="0"/>
    <n v="0"/>
    <n v="0"/>
    <n v="0"/>
    <n v="0"/>
    <n v="0"/>
    <n v="59.9"/>
  </r>
  <r>
    <x v="396"/>
    <d v="2025-01-09T00:00:00"/>
    <x v="0"/>
    <s v="South"/>
    <s v="Desktop"/>
    <s v="Organic"/>
    <s v="Free"/>
    <n v="1"/>
    <n v="1"/>
    <n v="0"/>
    <n v="0"/>
    <n v="0"/>
    <n v="0"/>
    <n v="0"/>
    <n v="0"/>
    <n v="63"/>
  </r>
  <r>
    <x v="397"/>
    <d v="2025-04-25T00:00:00"/>
    <x v="0"/>
    <s v="South"/>
    <s v="Mobile"/>
    <s v="Organic"/>
    <s v="Free"/>
    <n v="1"/>
    <n v="1"/>
    <n v="0"/>
    <n v="0"/>
    <n v="0"/>
    <n v="0"/>
    <n v="0"/>
    <n v="0"/>
    <n v="76.5"/>
  </r>
  <r>
    <x v="398"/>
    <d v="2025-03-12T00:00:00"/>
    <x v="0"/>
    <s v="North"/>
    <s v="Desktop"/>
    <s v="Paid Search"/>
    <s v="Free"/>
    <n v="1"/>
    <n v="0"/>
    <n v="0"/>
    <n v="0"/>
    <n v="0"/>
    <n v="0"/>
    <n v="0"/>
    <n v="0"/>
    <n v="39.700000000000003"/>
  </r>
  <r>
    <x v="399"/>
    <d v="2025-03-20T00:00:00"/>
    <x v="0"/>
    <s v="North"/>
    <s v="Mobile"/>
    <s v="Organic"/>
    <s v="Free"/>
    <n v="1"/>
    <n v="1"/>
    <n v="0"/>
    <n v="0"/>
    <n v="0"/>
    <n v="0"/>
    <n v="0"/>
    <n v="0"/>
    <n v="80.2"/>
  </r>
  <r>
    <x v="400"/>
    <d v="2025-02-18T00:00:00"/>
    <x v="0"/>
    <s v="West"/>
    <s v="Mobile"/>
    <s v="Paid Search"/>
    <s v="Free"/>
    <n v="1"/>
    <n v="0"/>
    <n v="0"/>
    <n v="0"/>
    <n v="0"/>
    <n v="0"/>
    <n v="0"/>
    <n v="0"/>
    <n v="72.2"/>
  </r>
  <r>
    <x v="401"/>
    <d v="2025-01-22T00:00:00"/>
    <x v="0"/>
    <s v="North"/>
    <s v="Mobile"/>
    <s v="Social"/>
    <s v="Basic"/>
    <n v="0"/>
    <n v="0"/>
    <n v="0"/>
    <n v="0"/>
    <n v="0"/>
    <n v="0"/>
    <n v="0"/>
    <n v="0"/>
    <n v="56"/>
  </r>
  <r>
    <x v="402"/>
    <d v="2025-02-08T00:00:00"/>
    <x v="0"/>
    <s v="West"/>
    <s v="Mobile"/>
    <s v="Email"/>
    <s v="Basic"/>
    <n v="1"/>
    <n v="1"/>
    <n v="1"/>
    <n v="0"/>
    <n v="0"/>
    <n v="0"/>
    <n v="0"/>
    <n v="0"/>
    <n v="69.099999999999994"/>
  </r>
  <r>
    <x v="403"/>
    <d v="2025-01-20T00:00:00"/>
    <x v="0"/>
    <s v="North"/>
    <s v="Mobile"/>
    <s v="Email"/>
    <s v="Premium"/>
    <n v="0"/>
    <n v="0"/>
    <n v="0"/>
    <n v="0"/>
    <n v="0"/>
    <n v="1"/>
    <n v="0"/>
    <n v="0"/>
    <n v="70.599999999999994"/>
  </r>
  <r>
    <x v="404"/>
    <d v="2025-04-22T00:00:00"/>
    <x v="0"/>
    <s v="West"/>
    <s v="Desktop"/>
    <s v="Referral"/>
    <s v="Free"/>
    <n v="1"/>
    <n v="0"/>
    <n v="0"/>
    <n v="0"/>
    <n v="0"/>
    <n v="0"/>
    <n v="0"/>
    <n v="0"/>
    <n v="57.9"/>
  </r>
  <r>
    <x v="405"/>
    <d v="2025-01-22T00:00:00"/>
    <x v="0"/>
    <s v="East"/>
    <s v="Mobile"/>
    <s v="Organic"/>
    <s v="Basic"/>
    <n v="1"/>
    <n v="1"/>
    <n v="0"/>
    <n v="0"/>
    <n v="0"/>
    <n v="0"/>
    <n v="0"/>
    <n v="0"/>
    <n v="41.4"/>
  </r>
  <r>
    <x v="406"/>
    <d v="2025-05-11T00:00:00"/>
    <x v="0"/>
    <s v="West"/>
    <s v="Mobile"/>
    <s v="Organic"/>
    <s v="Basic"/>
    <n v="1"/>
    <n v="0"/>
    <n v="0"/>
    <n v="0"/>
    <n v="0"/>
    <n v="0"/>
    <n v="0"/>
    <n v="0"/>
    <n v="60.9"/>
  </r>
  <r>
    <x v="407"/>
    <d v="2025-02-06T00:00:00"/>
    <x v="0"/>
    <s v="South"/>
    <s v="Mobile"/>
    <s v="Organic"/>
    <s v="Basic"/>
    <n v="0"/>
    <n v="0"/>
    <n v="0"/>
    <n v="0"/>
    <n v="0"/>
    <n v="1"/>
    <n v="0"/>
    <n v="0"/>
    <n v="63.8"/>
  </r>
  <r>
    <x v="408"/>
    <d v="2025-02-21T00:00:00"/>
    <x v="0"/>
    <s v="North"/>
    <s v="Desktop"/>
    <s v="Organic"/>
    <s v="Premium"/>
    <n v="1"/>
    <n v="0"/>
    <n v="0"/>
    <n v="0"/>
    <n v="0"/>
    <n v="0"/>
    <n v="0"/>
    <n v="0"/>
    <n v="79.2"/>
  </r>
  <r>
    <x v="409"/>
    <d v="2025-01-13T00:00:00"/>
    <x v="0"/>
    <s v="West"/>
    <s v="Mobile"/>
    <s v="Email"/>
    <s v="Premium"/>
    <n v="1"/>
    <n v="1"/>
    <n v="1"/>
    <n v="0"/>
    <n v="0"/>
    <n v="0"/>
    <n v="0"/>
    <n v="0"/>
    <n v="53.3"/>
  </r>
  <r>
    <x v="410"/>
    <d v="2025-03-07T00:00:00"/>
    <x v="0"/>
    <s v="North"/>
    <s v="Mobile"/>
    <s v="Referral"/>
    <s v="Premium"/>
    <n v="1"/>
    <n v="1"/>
    <n v="1"/>
    <n v="1"/>
    <n v="2144.8200000000002"/>
    <n v="0"/>
    <n v="0"/>
    <n v="6"/>
    <n v="52.3"/>
  </r>
  <r>
    <x v="411"/>
    <d v="2025-02-26T00:00:00"/>
    <x v="0"/>
    <s v="West"/>
    <s v="Desktop"/>
    <s v="Organic"/>
    <s v="Basic"/>
    <n v="1"/>
    <n v="1"/>
    <n v="0"/>
    <n v="0"/>
    <n v="0"/>
    <n v="0"/>
    <n v="0"/>
    <n v="0"/>
    <n v="62.4"/>
  </r>
  <r>
    <x v="412"/>
    <d v="2025-05-05T00:00:00"/>
    <x v="0"/>
    <s v="North"/>
    <s v="Mobile"/>
    <s v="Referral"/>
    <s v="Premium"/>
    <n v="1"/>
    <n v="0"/>
    <n v="0"/>
    <n v="0"/>
    <n v="0"/>
    <n v="0"/>
    <n v="0"/>
    <n v="0"/>
    <n v="45.5"/>
  </r>
  <r>
    <x v="413"/>
    <d v="2025-01-08T00:00:00"/>
    <x v="0"/>
    <s v="East"/>
    <s v="Desktop"/>
    <s v="Organic"/>
    <s v="Basic"/>
    <n v="0"/>
    <n v="0"/>
    <n v="0"/>
    <n v="0"/>
    <n v="0"/>
    <n v="1"/>
    <n v="0"/>
    <n v="0"/>
    <n v="72.599999999999994"/>
  </r>
  <r>
    <x v="414"/>
    <d v="2025-03-19T00:00:00"/>
    <x v="0"/>
    <s v="South"/>
    <s v="Mobile"/>
    <s v="Email"/>
    <s v="Premium"/>
    <n v="1"/>
    <n v="1"/>
    <n v="1"/>
    <n v="0"/>
    <n v="0"/>
    <n v="0"/>
    <n v="0"/>
    <n v="0"/>
    <n v="50.1"/>
  </r>
  <r>
    <x v="415"/>
    <d v="2025-01-30T00:00:00"/>
    <x v="0"/>
    <s v="East"/>
    <s v="Desktop"/>
    <s v="Paid Search"/>
    <s v="Free"/>
    <n v="1"/>
    <n v="1"/>
    <n v="1"/>
    <n v="0"/>
    <n v="0"/>
    <n v="2"/>
    <n v="0"/>
    <n v="0"/>
    <n v="58.1"/>
  </r>
  <r>
    <x v="416"/>
    <d v="2025-04-28T00:00:00"/>
    <x v="0"/>
    <s v="East"/>
    <s v="Mobile"/>
    <s v="Organic"/>
    <s v="Basic"/>
    <n v="1"/>
    <n v="0"/>
    <n v="0"/>
    <n v="0"/>
    <n v="0"/>
    <n v="0"/>
    <n v="0"/>
    <n v="0"/>
    <n v="42.9"/>
  </r>
  <r>
    <x v="417"/>
    <d v="2025-03-07T00:00:00"/>
    <x v="0"/>
    <s v="North"/>
    <s v="Mobile"/>
    <s v="Referral"/>
    <s v="Basic"/>
    <n v="0"/>
    <n v="0"/>
    <n v="0"/>
    <n v="0"/>
    <n v="0"/>
    <n v="0"/>
    <n v="0"/>
    <n v="0"/>
    <n v="69.7"/>
  </r>
  <r>
    <x v="418"/>
    <d v="2025-04-07T00:00:00"/>
    <x v="0"/>
    <s v="North"/>
    <s v="Desktop"/>
    <s v="Organic"/>
    <s v="Free"/>
    <n v="0"/>
    <n v="0"/>
    <n v="0"/>
    <n v="0"/>
    <n v="0"/>
    <n v="0"/>
    <n v="0"/>
    <n v="0"/>
    <n v="63.3"/>
  </r>
  <r>
    <x v="419"/>
    <d v="2025-05-08T00:00:00"/>
    <x v="0"/>
    <s v="North"/>
    <s v="Desktop"/>
    <s v="Organic"/>
    <s v="Premium"/>
    <n v="1"/>
    <n v="0"/>
    <n v="0"/>
    <n v="0"/>
    <n v="0"/>
    <n v="0"/>
    <n v="0"/>
    <n v="0"/>
    <n v="71.2"/>
  </r>
  <r>
    <x v="420"/>
    <d v="2025-04-15T00:00:00"/>
    <x v="0"/>
    <s v="South"/>
    <s v="Mobile"/>
    <s v="Email"/>
    <s v="Free"/>
    <n v="1"/>
    <n v="0"/>
    <n v="0"/>
    <n v="0"/>
    <n v="0"/>
    <n v="0"/>
    <n v="0"/>
    <n v="0"/>
    <n v="39.1"/>
  </r>
  <r>
    <x v="421"/>
    <d v="2025-04-20T00:00:00"/>
    <x v="0"/>
    <s v="East"/>
    <s v="Desktop"/>
    <s v="Social"/>
    <s v="Free"/>
    <n v="1"/>
    <n v="0"/>
    <n v="0"/>
    <n v="0"/>
    <n v="0"/>
    <n v="0"/>
    <n v="0"/>
    <n v="0"/>
    <n v="42.6"/>
  </r>
  <r>
    <x v="422"/>
    <d v="2025-05-30T00:00:00"/>
    <x v="0"/>
    <s v="South"/>
    <s v="Tablet"/>
    <s v="Organic"/>
    <s v="Free"/>
    <n v="0"/>
    <n v="0"/>
    <n v="0"/>
    <n v="0"/>
    <n v="0"/>
    <n v="0"/>
    <n v="0"/>
    <n v="0"/>
    <n v="74.400000000000006"/>
  </r>
  <r>
    <x v="423"/>
    <d v="2025-02-13T00:00:00"/>
    <x v="0"/>
    <s v="West"/>
    <s v="Mobile"/>
    <s v="Referral"/>
    <s v="Free"/>
    <n v="0"/>
    <n v="0"/>
    <n v="0"/>
    <n v="0"/>
    <n v="0"/>
    <n v="0"/>
    <n v="0"/>
    <n v="0"/>
    <n v="55.6"/>
  </r>
  <r>
    <x v="424"/>
    <d v="2025-04-28T00:00:00"/>
    <x v="0"/>
    <s v="West"/>
    <s v="Mobile"/>
    <s v="Social"/>
    <s v="Free"/>
    <n v="1"/>
    <n v="0"/>
    <n v="0"/>
    <n v="0"/>
    <n v="0"/>
    <n v="0"/>
    <n v="0"/>
    <n v="0"/>
    <n v="35.799999999999997"/>
  </r>
  <r>
    <x v="425"/>
    <d v="2025-02-12T00:00:00"/>
    <x v="0"/>
    <s v="North"/>
    <s v="Mobile"/>
    <s v="Paid Search"/>
    <s v="Basic"/>
    <n v="1"/>
    <n v="0"/>
    <n v="0"/>
    <n v="0"/>
    <n v="0"/>
    <n v="1"/>
    <n v="0"/>
    <n v="0"/>
    <n v="28.2"/>
  </r>
  <r>
    <x v="426"/>
    <d v="2025-02-12T00:00:00"/>
    <x v="0"/>
    <s v="East"/>
    <s v="Mobile"/>
    <s v="Organic"/>
    <s v="Free"/>
    <n v="0"/>
    <n v="0"/>
    <n v="0"/>
    <n v="0"/>
    <n v="0"/>
    <n v="2"/>
    <n v="0"/>
    <n v="0"/>
    <n v="44.4"/>
  </r>
  <r>
    <x v="427"/>
    <d v="2025-03-27T00:00:00"/>
    <x v="0"/>
    <s v="North"/>
    <s v="Mobile"/>
    <s v="Email"/>
    <s v="Premium"/>
    <n v="1"/>
    <n v="0"/>
    <n v="0"/>
    <n v="0"/>
    <n v="0"/>
    <n v="0"/>
    <n v="0"/>
    <n v="0"/>
    <n v="49.9"/>
  </r>
  <r>
    <x v="428"/>
    <d v="2025-04-12T00:00:00"/>
    <x v="0"/>
    <s v="South"/>
    <s v="Desktop"/>
    <s v="Organic"/>
    <s v="Free"/>
    <n v="0"/>
    <n v="0"/>
    <n v="0"/>
    <n v="0"/>
    <n v="0"/>
    <n v="0"/>
    <n v="0"/>
    <n v="0"/>
    <n v="40.4"/>
  </r>
  <r>
    <x v="429"/>
    <d v="2025-01-30T00:00:00"/>
    <x v="0"/>
    <s v="West"/>
    <s v="Mobile"/>
    <s v="Social"/>
    <s v="Free"/>
    <n v="0"/>
    <n v="0"/>
    <n v="0"/>
    <n v="0"/>
    <n v="0"/>
    <n v="0"/>
    <n v="0"/>
    <n v="0"/>
    <n v="60.4"/>
  </r>
  <r>
    <x v="430"/>
    <d v="2025-05-28T00:00:00"/>
    <x v="0"/>
    <s v="West"/>
    <s v="Mobile"/>
    <s v="Social"/>
    <s v="Premium"/>
    <n v="0"/>
    <n v="0"/>
    <n v="0"/>
    <n v="0"/>
    <n v="0"/>
    <n v="1"/>
    <n v="0"/>
    <n v="0"/>
    <n v="52.4"/>
  </r>
  <r>
    <x v="431"/>
    <d v="2025-05-01T00:00:00"/>
    <x v="0"/>
    <s v="South"/>
    <s v="Mobile"/>
    <s v="Organic"/>
    <s v="Basic"/>
    <n v="1"/>
    <n v="1"/>
    <n v="0"/>
    <n v="0"/>
    <n v="0"/>
    <n v="0"/>
    <n v="0"/>
    <n v="0"/>
    <n v="48.8"/>
  </r>
  <r>
    <x v="432"/>
    <d v="2025-02-03T00:00:00"/>
    <x v="0"/>
    <s v="North"/>
    <s v="Tablet"/>
    <s v="Email"/>
    <s v="Basic"/>
    <n v="1"/>
    <n v="0"/>
    <n v="0"/>
    <n v="0"/>
    <n v="0"/>
    <n v="0"/>
    <n v="0"/>
    <n v="0"/>
    <n v="60.9"/>
  </r>
  <r>
    <x v="433"/>
    <d v="2025-01-10T00:00:00"/>
    <x v="0"/>
    <s v="South"/>
    <s v="Desktop"/>
    <s v="Social"/>
    <s v="Basic"/>
    <n v="0"/>
    <n v="0"/>
    <n v="0"/>
    <n v="0"/>
    <n v="0"/>
    <n v="0"/>
    <n v="0"/>
    <n v="0"/>
    <n v="68.2"/>
  </r>
  <r>
    <x v="434"/>
    <d v="2025-05-02T00:00:00"/>
    <x v="0"/>
    <s v="North"/>
    <s v="Desktop"/>
    <s v="Organic"/>
    <s v="Basic"/>
    <n v="1"/>
    <n v="0"/>
    <n v="0"/>
    <n v="0"/>
    <n v="0"/>
    <n v="0"/>
    <n v="0"/>
    <n v="0"/>
    <n v="65.599999999999994"/>
  </r>
  <r>
    <x v="435"/>
    <d v="2025-05-26T00:00:00"/>
    <x v="0"/>
    <s v="North"/>
    <s v="Desktop"/>
    <s v="Organic"/>
    <s v="Basic"/>
    <n v="1"/>
    <n v="0"/>
    <n v="0"/>
    <n v="0"/>
    <n v="0"/>
    <n v="0"/>
    <n v="0"/>
    <n v="0"/>
    <n v="65.400000000000006"/>
  </r>
  <r>
    <x v="436"/>
    <d v="2025-01-12T00:00:00"/>
    <x v="0"/>
    <s v="West"/>
    <s v="Mobile"/>
    <s v="Organic"/>
    <s v="Basic"/>
    <n v="1"/>
    <n v="0"/>
    <n v="0"/>
    <n v="0"/>
    <n v="0"/>
    <n v="0"/>
    <n v="0"/>
    <n v="0"/>
    <n v="78.900000000000006"/>
  </r>
  <r>
    <x v="437"/>
    <d v="2025-05-27T00:00:00"/>
    <x v="0"/>
    <s v="East"/>
    <s v="Mobile"/>
    <s v="Paid Search"/>
    <s v="Basic"/>
    <n v="1"/>
    <n v="1"/>
    <n v="1"/>
    <n v="0"/>
    <n v="0"/>
    <n v="0"/>
    <n v="0"/>
    <n v="0"/>
    <n v="78.3"/>
  </r>
  <r>
    <x v="438"/>
    <d v="2025-05-22T00:00:00"/>
    <x v="0"/>
    <s v="West"/>
    <s v="Desktop"/>
    <s v="Email"/>
    <s v="Basic"/>
    <n v="0"/>
    <n v="0"/>
    <n v="0"/>
    <n v="0"/>
    <n v="0"/>
    <n v="0"/>
    <n v="0"/>
    <n v="0"/>
    <n v="49.2"/>
  </r>
  <r>
    <x v="439"/>
    <d v="2025-04-01T00:00:00"/>
    <x v="0"/>
    <s v="East"/>
    <s v="Mobile"/>
    <s v="Social"/>
    <s v="Premium"/>
    <n v="1"/>
    <n v="1"/>
    <n v="1"/>
    <n v="1"/>
    <n v="1518.83"/>
    <n v="0"/>
    <n v="0"/>
    <n v="9"/>
    <n v="32.200000000000003"/>
  </r>
  <r>
    <x v="440"/>
    <d v="2025-01-22T00:00:00"/>
    <x v="0"/>
    <s v="North"/>
    <s v="Mobile"/>
    <s v="Paid Search"/>
    <s v="Basic"/>
    <n v="1"/>
    <n v="1"/>
    <n v="1"/>
    <n v="0"/>
    <n v="0"/>
    <n v="0"/>
    <n v="0"/>
    <n v="0"/>
    <n v="46.3"/>
  </r>
  <r>
    <x v="441"/>
    <d v="2025-05-24T00:00:00"/>
    <x v="0"/>
    <s v="East"/>
    <s v="Mobile"/>
    <s v="Paid Search"/>
    <s v="Basic"/>
    <n v="1"/>
    <n v="0"/>
    <n v="0"/>
    <n v="0"/>
    <n v="0"/>
    <n v="0"/>
    <n v="0"/>
    <n v="0"/>
    <n v="55.7"/>
  </r>
  <r>
    <x v="442"/>
    <d v="2025-04-25T00:00:00"/>
    <x v="0"/>
    <s v="South"/>
    <s v="Mobile"/>
    <s v="Social"/>
    <s v="Free"/>
    <n v="1"/>
    <n v="0"/>
    <n v="0"/>
    <n v="0"/>
    <n v="0"/>
    <n v="0"/>
    <n v="0"/>
    <n v="0"/>
    <n v="44.5"/>
  </r>
  <r>
    <x v="443"/>
    <d v="2025-04-12T00:00:00"/>
    <x v="0"/>
    <s v="West"/>
    <s v="Desktop"/>
    <s v="Referral"/>
    <s v="Free"/>
    <n v="1"/>
    <n v="1"/>
    <n v="1"/>
    <n v="0"/>
    <n v="0"/>
    <n v="1"/>
    <n v="0"/>
    <n v="0"/>
    <n v="47.9"/>
  </r>
  <r>
    <x v="444"/>
    <d v="2025-04-23T00:00:00"/>
    <x v="0"/>
    <s v="South"/>
    <s v="Mobile"/>
    <s v="Organic"/>
    <s v="Premium"/>
    <n v="1"/>
    <n v="0"/>
    <n v="0"/>
    <n v="0"/>
    <n v="0"/>
    <n v="0"/>
    <n v="0"/>
    <n v="0"/>
    <n v="43.9"/>
  </r>
  <r>
    <x v="445"/>
    <d v="2025-03-30T00:00:00"/>
    <x v="0"/>
    <s v="North"/>
    <s v="Desktop"/>
    <s v="Referral"/>
    <s v="Free"/>
    <n v="1"/>
    <n v="1"/>
    <n v="1"/>
    <n v="0"/>
    <n v="0"/>
    <n v="1"/>
    <n v="0"/>
    <n v="0"/>
    <n v="67.7"/>
  </r>
  <r>
    <x v="446"/>
    <d v="2025-01-18T00:00:00"/>
    <x v="0"/>
    <s v="East"/>
    <s v="Mobile"/>
    <s v="Referral"/>
    <s v="Basic"/>
    <n v="0"/>
    <n v="0"/>
    <n v="0"/>
    <n v="0"/>
    <n v="0"/>
    <n v="0"/>
    <n v="0"/>
    <n v="0"/>
    <n v="43.7"/>
  </r>
  <r>
    <x v="447"/>
    <d v="2025-04-09T00:00:00"/>
    <x v="0"/>
    <s v="East"/>
    <s v="Mobile"/>
    <s v="Organic"/>
    <s v="Free"/>
    <n v="1"/>
    <n v="0"/>
    <n v="0"/>
    <n v="0"/>
    <n v="0"/>
    <n v="0"/>
    <n v="0"/>
    <n v="0"/>
    <n v="68.8"/>
  </r>
  <r>
    <x v="448"/>
    <d v="2025-01-11T00:00:00"/>
    <x v="0"/>
    <s v="West"/>
    <s v="Mobile"/>
    <s v="Organic"/>
    <s v="Free"/>
    <n v="1"/>
    <n v="1"/>
    <n v="1"/>
    <n v="0"/>
    <n v="0"/>
    <n v="0"/>
    <n v="0"/>
    <n v="0"/>
    <n v="59.2"/>
  </r>
  <r>
    <x v="449"/>
    <d v="2025-03-05T00:00:00"/>
    <x v="0"/>
    <s v="East"/>
    <s v="Mobile"/>
    <s v="Paid Search"/>
    <s v="Free"/>
    <n v="1"/>
    <n v="0"/>
    <n v="0"/>
    <n v="0"/>
    <n v="0"/>
    <n v="0"/>
    <n v="0"/>
    <n v="0"/>
    <n v="48.6"/>
  </r>
  <r>
    <x v="450"/>
    <d v="2025-02-17T00:00:00"/>
    <x v="0"/>
    <s v="North"/>
    <s v="Tablet"/>
    <s v="Social"/>
    <s v="Free"/>
    <n v="1"/>
    <n v="1"/>
    <n v="1"/>
    <n v="0"/>
    <n v="0"/>
    <n v="0"/>
    <n v="0"/>
    <n v="0"/>
    <n v="56.9"/>
  </r>
  <r>
    <x v="451"/>
    <d v="2025-05-07T00:00:00"/>
    <x v="0"/>
    <s v="North"/>
    <s v="Desktop"/>
    <s v="Paid Search"/>
    <s v="Free"/>
    <n v="0"/>
    <n v="0"/>
    <n v="0"/>
    <n v="0"/>
    <n v="0"/>
    <n v="0"/>
    <n v="0"/>
    <n v="0"/>
    <n v="55.8"/>
  </r>
  <r>
    <x v="452"/>
    <d v="2025-04-10T00:00:00"/>
    <x v="0"/>
    <s v="East"/>
    <s v="Mobile"/>
    <s v="Paid Search"/>
    <s v="Premium"/>
    <n v="0"/>
    <n v="0"/>
    <n v="0"/>
    <n v="0"/>
    <n v="0"/>
    <n v="0"/>
    <n v="0"/>
    <n v="0"/>
    <n v="63.3"/>
  </r>
  <r>
    <x v="453"/>
    <d v="2025-04-21T00:00:00"/>
    <x v="0"/>
    <s v="North"/>
    <s v="Mobile"/>
    <s v="Social"/>
    <s v="Free"/>
    <n v="1"/>
    <n v="0"/>
    <n v="0"/>
    <n v="0"/>
    <n v="0"/>
    <n v="0"/>
    <n v="0"/>
    <n v="0"/>
    <n v="52.2"/>
  </r>
  <r>
    <x v="454"/>
    <d v="2025-02-25T00:00:00"/>
    <x v="0"/>
    <s v="South"/>
    <s v="Tablet"/>
    <s v="Unknown"/>
    <s v="Free"/>
    <n v="0"/>
    <n v="0"/>
    <n v="0"/>
    <n v="0"/>
    <n v="0"/>
    <n v="0"/>
    <n v="0"/>
    <n v="0"/>
    <n v="51.5"/>
  </r>
  <r>
    <x v="455"/>
    <d v="2025-05-14T00:00:00"/>
    <x v="0"/>
    <s v="East"/>
    <s v="Desktop"/>
    <s v="Organic"/>
    <s v="Free"/>
    <n v="0"/>
    <n v="0"/>
    <n v="0"/>
    <n v="0"/>
    <n v="0"/>
    <n v="0"/>
    <n v="0"/>
    <n v="0"/>
    <n v="50.3"/>
  </r>
  <r>
    <x v="456"/>
    <d v="2025-03-10T00:00:00"/>
    <x v="0"/>
    <s v="North"/>
    <s v="Mobile"/>
    <s v="Email"/>
    <s v="Basic"/>
    <n v="1"/>
    <n v="0"/>
    <n v="0"/>
    <n v="0"/>
    <n v="0"/>
    <n v="1"/>
    <n v="0"/>
    <n v="0"/>
    <n v="35.4"/>
  </r>
  <r>
    <x v="457"/>
    <d v="2025-01-31T00:00:00"/>
    <x v="0"/>
    <s v="West"/>
    <s v="Desktop"/>
    <s v="Organic"/>
    <s v="Premium"/>
    <n v="1"/>
    <n v="0"/>
    <n v="0"/>
    <n v="0"/>
    <n v="0"/>
    <n v="1"/>
    <n v="0"/>
    <n v="0"/>
    <n v="54.1"/>
  </r>
  <r>
    <x v="458"/>
    <d v="2025-01-17T00:00:00"/>
    <x v="0"/>
    <s v="South"/>
    <s v="Mobile"/>
    <s v="Organic"/>
    <s v="Premium"/>
    <n v="1"/>
    <n v="0"/>
    <n v="0"/>
    <n v="0"/>
    <n v="0"/>
    <n v="0"/>
    <n v="0"/>
    <n v="0"/>
    <n v="56.2"/>
  </r>
  <r>
    <x v="459"/>
    <d v="2025-03-12T00:00:00"/>
    <x v="0"/>
    <s v="South"/>
    <s v="Mobile"/>
    <s v="Paid Search"/>
    <s v="Free"/>
    <n v="0"/>
    <n v="0"/>
    <n v="0"/>
    <n v="0"/>
    <n v="0"/>
    <n v="3"/>
    <n v="0"/>
    <n v="0"/>
    <n v="43.7"/>
  </r>
  <r>
    <x v="460"/>
    <d v="2025-02-28T00:00:00"/>
    <x v="0"/>
    <s v="West"/>
    <s v="Desktop"/>
    <s v="Organic"/>
    <s v="Premium"/>
    <n v="1"/>
    <n v="1"/>
    <n v="0"/>
    <n v="0"/>
    <n v="0"/>
    <n v="0"/>
    <n v="0"/>
    <n v="0"/>
    <n v="51.3"/>
  </r>
  <r>
    <x v="461"/>
    <d v="2025-05-19T00:00:00"/>
    <x v="0"/>
    <s v="North"/>
    <s v="Unknown"/>
    <s v="Organic"/>
    <s v="Basic"/>
    <n v="1"/>
    <n v="0"/>
    <n v="0"/>
    <n v="0"/>
    <n v="0"/>
    <n v="0"/>
    <n v="0"/>
    <n v="0"/>
    <n v="50.5"/>
  </r>
  <r>
    <x v="462"/>
    <d v="2025-02-23T00:00:00"/>
    <x v="0"/>
    <s v="North"/>
    <s v="Mobile"/>
    <s v="Referral"/>
    <s v="Basic"/>
    <n v="1"/>
    <n v="0"/>
    <n v="0"/>
    <n v="0"/>
    <n v="0"/>
    <n v="0"/>
    <n v="0"/>
    <n v="0"/>
    <n v="57.3"/>
  </r>
  <r>
    <x v="463"/>
    <d v="2025-02-20T00:00:00"/>
    <x v="0"/>
    <s v="West"/>
    <s v="Desktop"/>
    <s v="Organic"/>
    <s v="Free"/>
    <n v="1"/>
    <n v="1"/>
    <n v="1"/>
    <n v="0"/>
    <n v="0"/>
    <n v="0"/>
    <n v="0"/>
    <n v="0"/>
    <n v="58.4"/>
  </r>
  <r>
    <x v="464"/>
    <d v="2025-04-12T00:00:00"/>
    <x v="0"/>
    <s v="North"/>
    <s v="Mobile"/>
    <s v="Unknown"/>
    <s v="Free"/>
    <n v="0"/>
    <n v="0"/>
    <n v="0"/>
    <n v="0"/>
    <n v="0"/>
    <n v="0"/>
    <n v="0"/>
    <n v="0"/>
    <n v="56.5"/>
  </r>
  <r>
    <x v="465"/>
    <d v="2025-01-08T00:00:00"/>
    <x v="0"/>
    <s v="West"/>
    <s v="Mobile"/>
    <s v="Email"/>
    <s v="Free"/>
    <n v="0"/>
    <n v="0"/>
    <n v="0"/>
    <n v="0"/>
    <n v="0"/>
    <n v="0"/>
    <n v="0"/>
    <n v="0"/>
    <n v="69.599999999999994"/>
  </r>
  <r>
    <x v="466"/>
    <d v="2025-02-13T00:00:00"/>
    <x v="0"/>
    <s v="West"/>
    <s v="Mobile"/>
    <s v="Organic"/>
    <s v="Basic"/>
    <n v="0"/>
    <n v="0"/>
    <n v="0"/>
    <n v="0"/>
    <n v="0"/>
    <n v="0"/>
    <n v="0"/>
    <n v="0"/>
    <n v="6.2"/>
  </r>
  <r>
    <x v="467"/>
    <d v="2025-05-21T00:00:00"/>
    <x v="0"/>
    <s v="East"/>
    <s v="Desktop"/>
    <s v="Email"/>
    <s v="Free"/>
    <n v="1"/>
    <n v="1"/>
    <n v="1"/>
    <n v="0"/>
    <n v="0"/>
    <n v="0"/>
    <n v="0"/>
    <n v="0"/>
    <n v="54.3"/>
  </r>
  <r>
    <x v="468"/>
    <d v="2025-05-30T00:00:00"/>
    <x v="0"/>
    <s v="North"/>
    <s v="Mobile"/>
    <s v="Organic"/>
    <s v="Basic"/>
    <n v="0"/>
    <n v="0"/>
    <n v="0"/>
    <n v="0"/>
    <n v="0"/>
    <n v="0"/>
    <n v="0"/>
    <n v="0"/>
    <n v="59.8"/>
  </r>
  <r>
    <x v="469"/>
    <d v="2025-05-20T00:00:00"/>
    <x v="0"/>
    <s v="West"/>
    <s v="Mobile"/>
    <s v="Paid Search"/>
    <s v="Free"/>
    <n v="0"/>
    <n v="0"/>
    <n v="0"/>
    <n v="0"/>
    <n v="0"/>
    <n v="0"/>
    <n v="0"/>
    <n v="0"/>
    <n v="58.9"/>
  </r>
  <r>
    <x v="470"/>
    <d v="2025-01-09T00:00:00"/>
    <x v="0"/>
    <s v="East"/>
    <s v="Desktop"/>
    <s v="Organic"/>
    <s v="Free"/>
    <n v="0"/>
    <n v="0"/>
    <n v="0"/>
    <n v="0"/>
    <n v="0"/>
    <n v="1"/>
    <n v="0"/>
    <n v="0"/>
    <n v="52.9"/>
  </r>
  <r>
    <x v="471"/>
    <d v="2025-03-07T00:00:00"/>
    <x v="0"/>
    <s v="West"/>
    <s v="Mobile"/>
    <s v="Organic"/>
    <s v="Free"/>
    <n v="0"/>
    <n v="0"/>
    <n v="0"/>
    <n v="0"/>
    <n v="0"/>
    <n v="0"/>
    <n v="0"/>
    <n v="0"/>
    <n v="67.8"/>
  </r>
  <r>
    <x v="472"/>
    <d v="2025-04-23T00:00:00"/>
    <x v="0"/>
    <s v="South"/>
    <s v="Mobile"/>
    <s v="Social"/>
    <s v="Free"/>
    <n v="0"/>
    <n v="0"/>
    <n v="0"/>
    <n v="0"/>
    <n v="0"/>
    <n v="0"/>
    <n v="0"/>
    <n v="0"/>
    <n v="48.7"/>
  </r>
  <r>
    <x v="473"/>
    <d v="2025-03-08T00:00:00"/>
    <x v="0"/>
    <s v="East"/>
    <s v="Mobile"/>
    <s v="Organic"/>
    <s v="Basic"/>
    <n v="0"/>
    <n v="0"/>
    <n v="0"/>
    <n v="0"/>
    <n v="0"/>
    <n v="0"/>
    <n v="0"/>
    <n v="0"/>
    <n v="59"/>
  </r>
  <r>
    <x v="474"/>
    <d v="2025-02-14T00:00:00"/>
    <x v="0"/>
    <s v="South"/>
    <s v="Mobile"/>
    <s v="Referral"/>
    <s v="Free"/>
    <n v="0"/>
    <n v="0"/>
    <n v="0"/>
    <n v="0"/>
    <n v="0"/>
    <n v="0"/>
    <n v="0"/>
    <n v="0"/>
    <n v="63.2"/>
  </r>
  <r>
    <x v="475"/>
    <d v="2025-05-17T00:00:00"/>
    <x v="0"/>
    <s v="West"/>
    <s v="Mobile"/>
    <s v="Referral"/>
    <s v="Basic"/>
    <n v="1"/>
    <n v="0"/>
    <n v="0"/>
    <n v="0"/>
    <n v="0"/>
    <n v="0"/>
    <n v="0"/>
    <n v="0"/>
    <n v="68.7"/>
  </r>
  <r>
    <x v="476"/>
    <d v="2025-04-25T00:00:00"/>
    <x v="0"/>
    <s v="South"/>
    <s v="Mobile"/>
    <s v="Referral"/>
    <s v="Free"/>
    <n v="0"/>
    <n v="0"/>
    <n v="0"/>
    <n v="0"/>
    <n v="0"/>
    <n v="0"/>
    <n v="0"/>
    <n v="0"/>
    <n v="52.1"/>
  </r>
  <r>
    <x v="477"/>
    <d v="2025-03-04T00:00:00"/>
    <x v="0"/>
    <s v="South"/>
    <s v="Desktop"/>
    <s v="Social"/>
    <s v="Basic"/>
    <n v="0"/>
    <n v="0"/>
    <n v="0"/>
    <n v="0"/>
    <n v="0"/>
    <n v="0"/>
    <n v="0"/>
    <n v="0"/>
    <n v="56.5"/>
  </r>
  <r>
    <x v="478"/>
    <d v="2025-03-18T00:00:00"/>
    <x v="0"/>
    <s v="South"/>
    <s v="Mobile"/>
    <s v="Organic"/>
    <s v="Free"/>
    <n v="1"/>
    <n v="0"/>
    <n v="0"/>
    <n v="0"/>
    <n v="0"/>
    <n v="0"/>
    <n v="0"/>
    <n v="0"/>
    <n v="64.400000000000006"/>
  </r>
  <r>
    <x v="479"/>
    <d v="2025-01-30T00:00:00"/>
    <x v="0"/>
    <s v="West"/>
    <s v="Mobile"/>
    <s v="Paid Search"/>
    <s v="Premium"/>
    <n v="1"/>
    <n v="0"/>
    <n v="0"/>
    <n v="0"/>
    <n v="0"/>
    <n v="0"/>
    <n v="0"/>
    <n v="0"/>
    <n v="65.900000000000006"/>
  </r>
  <r>
    <x v="480"/>
    <d v="2025-05-20T00:00:00"/>
    <x v="0"/>
    <s v="West"/>
    <s v="Tablet"/>
    <s v="Referral"/>
    <s v="Free"/>
    <n v="1"/>
    <n v="1"/>
    <n v="1"/>
    <n v="0"/>
    <n v="0"/>
    <n v="0"/>
    <n v="0"/>
    <n v="0"/>
    <n v="100"/>
  </r>
  <r>
    <x v="481"/>
    <d v="2025-02-13T00:00:00"/>
    <x v="0"/>
    <s v="North"/>
    <s v="Unknown"/>
    <s v="Organic"/>
    <s v="Basic"/>
    <n v="1"/>
    <n v="1"/>
    <n v="1"/>
    <n v="0"/>
    <n v="0"/>
    <n v="0"/>
    <n v="0"/>
    <n v="0"/>
    <n v="50.4"/>
  </r>
  <r>
    <x v="482"/>
    <d v="2025-04-12T00:00:00"/>
    <x v="0"/>
    <s v="West"/>
    <s v="Desktop"/>
    <s v="Organic"/>
    <s v="Basic"/>
    <n v="0"/>
    <n v="0"/>
    <n v="0"/>
    <n v="0"/>
    <n v="0"/>
    <n v="0"/>
    <n v="0"/>
    <n v="0"/>
    <n v="41.5"/>
  </r>
  <r>
    <x v="483"/>
    <d v="2025-04-07T00:00:00"/>
    <x v="0"/>
    <s v="North"/>
    <s v="Mobile"/>
    <s v="Email"/>
    <s v="Free"/>
    <n v="0"/>
    <n v="0"/>
    <n v="0"/>
    <n v="0"/>
    <n v="0"/>
    <n v="0"/>
    <n v="0"/>
    <n v="0"/>
    <n v="86.2"/>
  </r>
  <r>
    <x v="484"/>
    <d v="2025-03-12T00:00:00"/>
    <x v="0"/>
    <s v="North"/>
    <s v="Desktop"/>
    <s v="Social"/>
    <s v="Free"/>
    <n v="1"/>
    <n v="1"/>
    <n v="1"/>
    <n v="0"/>
    <n v="0"/>
    <n v="2"/>
    <n v="0"/>
    <n v="0"/>
    <n v="50.8"/>
  </r>
  <r>
    <x v="485"/>
    <d v="2025-02-07T00:00:00"/>
    <x v="0"/>
    <s v="West"/>
    <s v="Mobile"/>
    <s v="Organic"/>
    <s v="Free"/>
    <n v="1"/>
    <n v="0"/>
    <n v="0"/>
    <n v="0"/>
    <n v="0"/>
    <n v="0"/>
    <n v="0"/>
    <n v="0"/>
    <n v="50.9"/>
  </r>
  <r>
    <x v="486"/>
    <d v="2025-05-05T00:00:00"/>
    <x v="0"/>
    <s v="North"/>
    <s v="Mobile"/>
    <s v="Organic"/>
    <s v="Premium"/>
    <n v="1"/>
    <n v="1"/>
    <n v="0"/>
    <n v="0"/>
    <n v="0"/>
    <n v="0"/>
    <n v="0"/>
    <n v="0"/>
    <n v="87.5"/>
  </r>
  <r>
    <x v="487"/>
    <d v="2025-03-18T00:00:00"/>
    <x v="0"/>
    <s v="South"/>
    <s v="Mobile"/>
    <s v="Referral"/>
    <s v="Free"/>
    <n v="0"/>
    <n v="0"/>
    <n v="0"/>
    <n v="0"/>
    <n v="0"/>
    <n v="0"/>
    <n v="0"/>
    <n v="0"/>
    <n v="43.6"/>
  </r>
  <r>
    <x v="488"/>
    <d v="2025-01-05T00:00:00"/>
    <x v="0"/>
    <s v="South"/>
    <s v="Mobile"/>
    <s v="Paid Search"/>
    <s v="Basic"/>
    <n v="1"/>
    <n v="0"/>
    <n v="0"/>
    <n v="0"/>
    <n v="0"/>
    <n v="0"/>
    <n v="0"/>
    <n v="0"/>
    <n v="55.5"/>
  </r>
  <r>
    <x v="489"/>
    <d v="2025-05-10T00:00:00"/>
    <x v="0"/>
    <s v="South"/>
    <s v="Desktop"/>
    <s v="Referral"/>
    <s v="Basic"/>
    <n v="0"/>
    <n v="0"/>
    <n v="0"/>
    <n v="0"/>
    <n v="0"/>
    <n v="0"/>
    <n v="0"/>
    <n v="0"/>
    <n v="78.599999999999994"/>
  </r>
  <r>
    <x v="490"/>
    <d v="2025-01-03T00:00:00"/>
    <x v="0"/>
    <s v="South"/>
    <s v="Mobile"/>
    <s v="Social"/>
    <s v="Basic"/>
    <n v="1"/>
    <n v="1"/>
    <n v="0"/>
    <n v="0"/>
    <n v="0"/>
    <n v="1"/>
    <n v="0"/>
    <n v="0"/>
    <n v="44.3"/>
  </r>
  <r>
    <x v="491"/>
    <d v="2025-05-08T00:00:00"/>
    <x v="0"/>
    <s v="South"/>
    <s v="Mobile"/>
    <s v="Paid Search"/>
    <s v="Free"/>
    <n v="1"/>
    <n v="1"/>
    <n v="0"/>
    <n v="0"/>
    <n v="0"/>
    <n v="0"/>
    <n v="0"/>
    <n v="0"/>
    <n v="45.2"/>
  </r>
  <r>
    <x v="492"/>
    <d v="2025-03-05T00:00:00"/>
    <x v="0"/>
    <s v="South"/>
    <s v="Desktop"/>
    <s v="Email"/>
    <s v="Basic"/>
    <n v="1"/>
    <n v="0"/>
    <n v="0"/>
    <n v="0"/>
    <n v="0"/>
    <n v="2"/>
    <n v="0"/>
    <n v="0"/>
    <n v="46.1"/>
  </r>
  <r>
    <x v="493"/>
    <d v="2025-02-17T00:00:00"/>
    <x v="0"/>
    <s v="North"/>
    <s v="Mobile"/>
    <s v="Organic"/>
    <s v="Premium"/>
    <n v="1"/>
    <n v="0"/>
    <n v="0"/>
    <n v="0"/>
    <n v="0"/>
    <n v="0"/>
    <n v="0"/>
    <n v="0"/>
    <n v="49.6"/>
  </r>
  <r>
    <x v="494"/>
    <d v="2025-01-09T00:00:00"/>
    <x v="0"/>
    <s v="South"/>
    <s v="Mobile"/>
    <s v="Referral"/>
    <s v="Basic"/>
    <n v="0"/>
    <n v="0"/>
    <n v="0"/>
    <n v="0"/>
    <n v="0"/>
    <n v="0"/>
    <n v="0"/>
    <n v="0"/>
    <n v="70.5"/>
  </r>
  <r>
    <x v="495"/>
    <d v="2025-05-05T00:00:00"/>
    <x v="0"/>
    <s v="South"/>
    <s v="Mobile"/>
    <s v="Email"/>
    <s v="Basic"/>
    <n v="0"/>
    <n v="0"/>
    <n v="0"/>
    <n v="0"/>
    <n v="0"/>
    <n v="1"/>
    <n v="0"/>
    <n v="0"/>
    <n v="60.8"/>
  </r>
  <r>
    <x v="496"/>
    <d v="2025-04-16T00:00:00"/>
    <x v="0"/>
    <s v="East"/>
    <s v="Mobile"/>
    <s v="Email"/>
    <s v="Basic"/>
    <n v="0"/>
    <n v="0"/>
    <n v="0"/>
    <n v="0"/>
    <n v="0"/>
    <n v="1"/>
    <n v="0"/>
    <n v="0"/>
    <n v="50.5"/>
  </r>
  <r>
    <x v="497"/>
    <d v="2025-03-02T00:00:00"/>
    <x v="0"/>
    <s v="South"/>
    <s v="Desktop"/>
    <s v="Organic"/>
    <s v="Free"/>
    <n v="1"/>
    <n v="0"/>
    <n v="0"/>
    <n v="0"/>
    <n v="0"/>
    <n v="0"/>
    <n v="0"/>
    <n v="0"/>
    <n v="54.9"/>
  </r>
  <r>
    <x v="498"/>
    <d v="2025-04-14T00:00:00"/>
    <x v="0"/>
    <s v="South"/>
    <s v="Mobile"/>
    <s v="Social"/>
    <s v="Premium"/>
    <n v="0"/>
    <n v="0"/>
    <n v="0"/>
    <n v="0"/>
    <n v="0"/>
    <n v="0"/>
    <n v="0"/>
    <n v="0"/>
    <n v="29.9"/>
  </r>
  <r>
    <x v="499"/>
    <d v="2025-02-15T00:00:00"/>
    <x v="0"/>
    <s v="East"/>
    <s v="Desktop"/>
    <s v="Paid Search"/>
    <s v="Basic"/>
    <n v="0"/>
    <n v="0"/>
    <n v="0"/>
    <n v="0"/>
    <n v="0"/>
    <n v="0"/>
    <n v="0"/>
    <n v="0"/>
    <n v="48.3"/>
  </r>
  <r>
    <x v="500"/>
    <d v="2025-02-13T00:00:00"/>
    <x v="0"/>
    <s v="West"/>
    <s v="Mobile"/>
    <s v="Social"/>
    <s v="Free"/>
    <n v="1"/>
    <n v="1"/>
    <n v="1"/>
    <n v="1"/>
    <n v="513.61"/>
    <n v="0"/>
    <n v="0"/>
    <n v="7"/>
    <n v="41.3"/>
  </r>
  <r>
    <x v="501"/>
    <d v="2025-03-06T00:00:00"/>
    <x v="0"/>
    <s v="North"/>
    <s v="Mobile"/>
    <s v="Email"/>
    <s v="Free"/>
    <n v="0"/>
    <n v="0"/>
    <n v="0"/>
    <n v="0"/>
    <n v="0"/>
    <n v="0"/>
    <n v="0"/>
    <n v="0"/>
    <n v="61.4"/>
  </r>
  <r>
    <x v="502"/>
    <d v="2025-02-18T00:00:00"/>
    <x v="0"/>
    <s v="South"/>
    <s v="Desktop"/>
    <s v="Social"/>
    <s v="Free"/>
    <n v="0"/>
    <n v="0"/>
    <n v="0"/>
    <n v="0"/>
    <n v="0"/>
    <n v="0"/>
    <n v="0"/>
    <n v="0"/>
    <n v="57.8"/>
  </r>
  <r>
    <x v="503"/>
    <d v="2025-04-07T00:00:00"/>
    <x v="0"/>
    <s v="North"/>
    <s v="Desktop"/>
    <s v="Organic"/>
    <s v="Free"/>
    <n v="0"/>
    <n v="0"/>
    <n v="0"/>
    <n v="0"/>
    <n v="0"/>
    <n v="0"/>
    <n v="0"/>
    <n v="0"/>
    <n v="78.2"/>
  </r>
  <r>
    <x v="504"/>
    <d v="2025-04-06T00:00:00"/>
    <x v="0"/>
    <s v="North"/>
    <s v="Mobile"/>
    <s v="Referral"/>
    <s v="Free"/>
    <n v="0"/>
    <n v="0"/>
    <n v="0"/>
    <n v="0"/>
    <n v="0"/>
    <n v="0"/>
    <n v="0"/>
    <n v="0"/>
    <n v="63.8"/>
  </r>
  <r>
    <x v="505"/>
    <d v="2025-01-30T00:00:00"/>
    <x v="0"/>
    <s v="North"/>
    <s v="Desktop"/>
    <s v="Social"/>
    <s v="Free"/>
    <n v="1"/>
    <n v="0"/>
    <n v="0"/>
    <n v="0"/>
    <n v="0"/>
    <n v="0"/>
    <n v="0"/>
    <n v="0"/>
    <n v="56.8"/>
  </r>
  <r>
    <x v="506"/>
    <d v="2025-05-13T00:00:00"/>
    <x v="0"/>
    <s v="South"/>
    <s v="Desktop"/>
    <s v="Organic"/>
    <s v="Basic"/>
    <n v="1"/>
    <n v="1"/>
    <n v="0"/>
    <n v="0"/>
    <n v="0"/>
    <n v="0"/>
    <n v="0"/>
    <n v="0"/>
    <n v="59.6"/>
  </r>
  <r>
    <x v="507"/>
    <d v="2025-01-20T00:00:00"/>
    <x v="0"/>
    <s v="West"/>
    <s v="Mobile"/>
    <s v="Paid Search"/>
    <s v="Premium"/>
    <n v="1"/>
    <n v="1"/>
    <n v="0"/>
    <n v="0"/>
    <n v="0"/>
    <n v="0"/>
    <n v="0"/>
    <n v="0"/>
    <n v="50"/>
  </r>
  <r>
    <x v="508"/>
    <d v="2025-01-30T00:00:00"/>
    <x v="0"/>
    <s v="North"/>
    <s v="Tablet"/>
    <s v="Organic"/>
    <s v="Free"/>
    <n v="1"/>
    <n v="0"/>
    <n v="0"/>
    <n v="0"/>
    <n v="0"/>
    <n v="0"/>
    <n v="0"/>
    <n v="0"/>
    <n v="35.700000000000003"/>
  </r>
  <r>
    <x v="509"/>
    <d v="2025-01-13T00:00:00"/>
    <x v="0"/>
    <s v="South"/>
    <s v="Mobile"/>
    <s v="Organic"/>
    <s v="Free"/>
    <n v="0"/>
    <n v="0"/>
    <n v="0"/>
    <n v="0"/>
    <n v="0"/>
    <n v="2"/>
    <n v="0"/>
    <n v="0"/>
    <n v="47.2"/>
  </r>
  <r>
    <x v="510"/>
    <d v="2025-02-11T00:00:00"/>
    <x v="0"/>
    <s v="North"/>
    <s v="Mobile"/>
    <s v="Social"/>
    <s v="Free"/>
    <n v="1"/>
    <n v="1"/>
    <n v="0"/>
    <n v="0"/>
    <n v="0"/>
    <n v="0"/>
    <n v="0"/>
    <n v="0"/>
    <n v="56.9"/>
  </r>
  <r>
    <x v="511"/>
    <d v="2025-04-15T00:00:00"/>
    <x v="0"/>
    <s v="South"/>
    <s v="Mobile"/>
    <s v="Organic"/>
    <s v="Free"/>
    <n v="0"/>
    <n v="0"/>
    <n v="0"/>
    <n v="0"/>
    <n v="0"/>
    <n v="1"/>
    <n v="0"/>
    <n v="0"/>
    <n v="57.2"/>
  </r>
  <r>
    <x v="512"/>
    <d v="2025-02-13T00:00:00"/>
    <x v="0"/>
    <s v="South"/>
    <s v="Mobile"/>
    <s v="Unknown"/>
    <s v="Free"/>
    <n v="1"/>
    <n v="1"/>
    <n v="0"/>
    <n v="0"/>
    <n v="0"/>
    <n v="0"/>
    <n v="0"/>
    <n v="0"/>
    <n v="31.4"/>
  </r>
  <r>
    <x v="513"/>
    <d v="2025-05-09T00:00:00"/>
    <x v="0"/>
    <s v="South"/>
    <s v="Desktop"/>
    <s v="Organic"/>
    <s v="Free"/>
    <n v="0"/>
    <n v="0"/>
    <n v="0"/>
    <n v="0"/>
    <n v="0"/>
    <n v="0"/>
    <n v="0"/>
    <n v="0"/>
    <n v="71.2"/>
  </r>
  <r>
    <x v="514"/>
    <d v="2025-03-10T00:00:00"/>
    <x v="0"/>
    <s v="North"/>
    <s v="Mobile"/>
    <s v="Paid Search"/>
    <s v="Free"/>
    <n v="1"/>
    <n v="1"/>
    <n v="1"/>
    <n v="0"/>
    <n v="0"/>
    <n v="1"/>
    <n v="0"/>
    <n v="0"/>
    <n v="38.299999999999997"/>
  </r>
  <r>
    <x v="515"/>
    <d v="2025-04-01T00:00:00"/>
    <x v="0"/>
    <s v="North"/>
    <s v="Mobile"/>
    <s v="Organic"/>
    <s v="Free"/>
    <n v="1"/>
    <n v="1"/>
    <n v="0"/>
    <n v="0"/>
    <n v="0"/>
    <n v="0"/>
    <n v="0"/>
    <n v="0"/>
    <n v="63.1"/>
  </r>
  <r>
    <x v="516"/>
    <d v="2025-05-15T00:00:00"/>
    <x v="0"/>
    <s v="East"/>
    <s v="Mobile"/>
    <s v="Referral"/>
    <s v="Basic"/>
    <n v="1"/>
    <n v="0"/>
    <n v="0"/>
    <n v="0"/>
    <n v="0"/>
    <n v="0"/>
    <n v="0"/>
    <n v="0"/>
    <n v="59.7"/>
  </r>
  <r>
    <x v="517"/>
    <d v="2025-05-04T00:00:00"/>
    <x v="0"/>
    <s v="South"/>
    <s v="Desktop"/>
    <s v="Social"/>
    <s v="Premium"/>
    <n v="1"/>
    <n v="1"/>
    <n v="1"/>
    <n v="0"/>
    <n v="0"/>
    <n v="0"/>
    <n v="0"/>
    <n v="0"/>
    <n v="59.5"/>
  </r>
  <r>
    <x v="518"/>
    <d v="2025-05-20T00:00:00"/>
    <x v="0"/>
    <s v="East"/>
    <s v="Mobile"/>
    <s v="Paid Search"/>
    <s v="Free"/>
    <n v="0"/>
    <n v="0"/>
    <n v="0"/>
    <n v="0"/>
    <n v="0"/>
    <n v="0"/>
    <n v="0"/>
    <n v="0"/>
    <n v="78.8"/>
  </r>
  <r>
    <x v="519"/>
    <d v="2025-05-16T00:00:00"/>
    <x v="0"/>
    <s v="West"/>
    <s v="Desktop"/>
    <s v="Referral"/>
    <s v="Free"/>
    <n v="0"/>
    <n v="0"/>
    <n v="0"/>
    <n v="0"/>
    <n v="0"/>
    <n v="0"/>
    <n v="0"/>
    <n v="0"/>
    <n v="54"/>
  </r>
  <r>
    <x v="520"/>
    <d v="2025-03-17T00:00:00"/>
    <x v="0"/>
    <s v="West"/>
    <s v="Mobile"/>
    <s v="Organic"/>
    <s v="Free"/>
    <n v="1"/>
    <n v="0"/>
    <n v="0"/>
    <n v="0"/>
    <n v="0"/>
    <n v="0"/>
    <n v="0"/>
    <n v="0"/>
    <n v="66.3"/>
  </r>
  <r>
    <x v="521"/>
    <d v="2025-01-27T00:00:00"/>
    <x v="0"/>
    <s v="East"/>
    <s v="Tablet"/>
    <s v="Paid Search"/>
    <s v="Free"/>
    <n v="1"/>
    <n v="1"/>
    <n v="0"/>
    <n v="0"/>
    <n v="0"/>
    <n v="0"/>
    <n v="0"/>
    <n v="0"/>
    <n v="54.7"/>
  </r>
  <r>
    <x v="522"/>
    <d v="2025-04-13T00:00:00"/>
    <x v="0"/>
    <s v="South"/>
    <s v="Mobile"/>
    <s v="Organic"/>
    <s v="Basic"/>
    <n v="1"/>
    <n v="0"/>
    <n v="0"/>
    <n v="0"/>
    <n v="0"/>
    <n v="0"/>
    <n v="0"/>
    <n v="0"/>
    <n v="76.7"/>
  </r>
  <r>
    <x v="523"/>
    <d v="2025-05-03T00:00:00"/>
    <x v="0"/>
    <s v="South"/>
    <s v="Desktop"/>
    <s v="Email"/>
    <s v="Basic"/>
    <n v="1"/>
    <n v="0"/>
    <n v="0"/>
    <n v="0"/>
    <n v="0"/>
    <n v="2"/>
    <n v="0"/>
    <n v="0"/>
    <n v="47.4"/>
  </r>
  <r>
    <x v="524"/>
    <d v="2025-03-30T00:00:00"/>
    <x v="0"/>
    <s v="North"/>
    <s v="Mobile"/>
    <s v="Organic"/>
    <s v="Free"/>
    <n v="1"/>
    <n v="1"/>
    <n v="1"/>
    <n v="0"/>
    <n v="0"/>
    <n v="0"/>
    <n v="0"/>
    <n v="0"/>
    <n v="81.7"/>
  </r>
  <r>
    <x v="525"/>
    <d v="2025-01-01T00:00:00"/>
    <x v="0"/>
    <s v="West"/>
    <s v="Mobile"/>
    <s v="Paid Search"/>
    <s v="Basic"/>
    <n v="1"/>
    <n v="1"/>
    <n v="1"/>
    <n v="0"/>
    <n v="0"/>
    <n v="0"/>
    <n v="0"/>
    <n v="0"/>
    <n v="67.5"/>
  </r>
  <r>
    <x v="526"/>
    <d v="2025-02-06T00:00:00"/>
    <x v="0"/>
    <s v="West"/>
    <s v="Mobile"/>
    <s v="Paid Search"/>
    <s v="Basic"/>
    <n v="1"/>
    <n v="0"/>
    <n v="0"/>
    <n v="0"/>
    <n v="0"/>
    <n v="0"/>
    <n v="0"/>
    <n v="0"/>
    <n v="36.799999999999997"/>
  </r>
  <r>
    <x v="527"/>
    <d v="2025-02-25T00:00:00"/>
    <x v="0"/>
    <s v="North"/>
    <s v="Desktop"/>
    <s v="Organic"/>
    <s v="Free"/>
    <n v="0"/>
    <n v="0"/>
    <n v="0"/>
    <n v="0"/>
    <n v="0"/>
    <n v="0"/>
    <n v="0"/>
    <n v="0"/>
    <n v="66.5"/>
  </r>
  <r>
    <x v="528"/>
    <d v="2025-05-14T00:00:00"/>
    <x v="0"/>
    <s v="East"/>
    <s v="Tablet"/>
    <s v="Social"/>
    <s v="Free"/>
    <n v="1"/>
    <n v="0"/>
    <n v="0"/>
    <n v="0"/>
    <n v="0"/>
    <n v="0"/>
    <n v="0"/>
    <n v="0"/>
    <n v="35.4"/>
  </r>
  <r>
    <x v="529"/>
    <d v="2025-05-20T00:00:00"/>
    <x v="0"/>
    <s v="South"/>
    <s v="Mobile"/>
    <s v="Organic"/>
    <s v="Basic"/>
    <n v="0"/>
    <n v="0"/>
    <n v="0"/>
    <n v="0"/>
    <n v="0"/>
    <n v="0"/>
    <n v="0"/>
    <n v="0"/>
    <n v="64.3"/>
  </r>
  <r>
    <x v="530"/>
    <d v="2025-02-11T00:00:00"/>
    <x v="0"/>
    <s v="South"/>
    <s v="Mobile"/>
    <s v="Organic"/>
    <s v="Free"/>
    <n v="0"/>
    <n v="0"/>
    <n v="0"/>
    <n v="0"/>
    <n v="0"/>
    <n v="0"/>
    <n v="0"/>
    <n v="0"/>
    <n v="49.1"/>
  </r>
  <r>
    <x v="531"/>
    <d v="2025-02-13T00:00:00"/>
    <x v="0"/>
    <s v="West"/>
    <s v="Mobile"/>
    <s v="Organic"/>
    <s v="Free"/>
    <n v="1"/>
    <n v="0"/>
    <n v="0"/>
    <n v="0"/>
    <n v="0"/>
    <n v="0"/>
    <n v="0"/>
    <n v="0"/>
    <n v="84.3"/>
  </r>
  <r>
    <x v="532"/>
    <d v="2025-04-07T00:00:00"/>
    <x v="0"/>
    <s v="South"/>
    <s v="Mobile"/>
    <s v="Paid Search"/>
    <s v="Premium"/>
    <n v="1"/>
    <n v="0"/>
    <n v="0"/>
    <n v="0"/>
    <n v="0"/>
    <n v="0"/>
    <n v="0"/>
    <n v="0"/>
    <n v="65.599999999999994"/>
  </r>
  <r>
    <x v="533"/>
    <d v="2025-03-08T00:00:00"/>
    <x v="0"/>
    <s v="East"/>
    <s v="Mobile"/>
    <s v="Email"/>
    <s v="Free"/>
    <n v="1"/>
    <n v="0"/>
    <n v="0"/>
    <n v="0"/>
    <n v="0"/>
    <n v="0"/>
    <n v="0"/>
    <n v="0"/>
    <n v="47.1"/>
  </r>
  <r>
    <x v="534"/>
    <d v="2025-02-16T00:00:00"/>
    <x v="0"/>
    <s v="North"/>
    <s v="Desktop"/>
    <s v="Paid Search"/>
    <s v="Free"/>
    <n v="1"/>
    <n v="1"/>
    <n v="1"/>
    <n v="0"/>
    <n v="0"/>
    <n v="0"/>
    <n v="0"/>
    <n v="0"/>
    <n v="70"/>
  </r>
  <r>
    <x v="535"/>
    <d v="2025-04-28T00:00:00"/>
    <x v="0"/>
    <s v="South"/>
    <s v="Mobile"/>
    <s v="Paid Search"/>
    <s v="Premium"/>
    <n v="1"/>
    <n v="0"/>
    <n v="0"/>
    <n v="0"/>
    <n v="0"/>
    <n v="0"/>
    <n v="0"/>
    <n v="0"/>
    <n v="54.6"/>
  </r>
  <r>
    <x v="536"/>
    <d v="2025-03-10T00:00:00"/>
    <x v="0"/>
    <s v="West"/>
    <s v="Tablet"/>
    <s v="Social"/>
    <s v="Basic"/>
    <n v="1"/>
    <n v="1"/>
    <n v="0"/>
    <n v="0"/>
    <n v="0"/>
    <n v="1"/>
    <n v="0"/>
    <n v="0"/>
    <n v="65.2"/>
  </r>
  <r>
    <x v="537"/>
    <d v="2025-01-25T00:00:00"/>
    <x v="0"/>
    <s v="East"/>
    <s v="Mobile"/>
    <s v="Social"/>
    <s v="Free"/>
    <n v="1"/>
    <n v="0"/>
    <n v="0"/>
    <n v="0"/>
    <n v="0"/>
    <n v="0"/>
    <n v="0"/>
    <n v="0"/>
    <n v="65"/>
  </r>
  <r>
    <x v="538"/>
    <d v="2025-01-11T00:00:00"/>
    <x v="0"/>
    <s v="West"/>
    <s v="Mobile"/>
    <s v="Paid Search"/>
    <s v="Premium"/>
    <n v="1"/>
    <n v="1"/>
    <n v="1"/>
    <n v="0"/>
    <n v="0"/>
    <n v="1"/>
    <n v="0"/>
    <n v="0"/>
    <n v="42.1"/>
  </r>
  <r>
    <x v="539"/>
    <d v="2025-03-31T00:00:00"/>
    <x v="0"/>
    <s v="West"/>
    <s v="Tablet"/>
    <s v="Paid Search"/>
    <s v="Free"/>
    <n v="1"/>
    <n v="0"/>
    <n v="0"/>
    <n v="0"/>
    <n v="0"/>
    <n v="0"/>
    <n v="0"/>
    <n v="0"/>
    <n v="43.4"/>
  </r>
  <r>
    <x v="540"/>
    <d v="2025-05-22T00:00:00"/>
    <x v="0"/>
    <s v="North"/>
    <s v="Mobile"/>
    <s v="Paid Search"/>
    <s v="Basic"/>
    <n v="1"/>
    <n v="1"/>
    <n v="0"/>
    <n v="0"/>
    <n v="0"/>
    <n v="0"/>
    <n v="0"/>
    <n v="0"/>
    <n v="39.9"/>
  </r>
  <r>
    <x v="541"/>
    <d v="2025-05-16T00:00:00"/>
    <x v="0"/>
    <s v="North"/>
    <s v="Mobile"/>
    <s v="Referral"/>
    <s v="Basic"/>
    <n v="0"/>
    <n v="0"/>
    <n v="0"/>
    <n v="0"/>
    <n v="0"/>
    <n v="0"/>
    <n v="0"/>
    <n v="0"/>
    <n v="74.099999999999994"/>
  </r>
  <r>
    <x v="542"/>
    <d v="2025-04-25T00:00:00"/>
    <x v="0"/>
    <s v="East"/>
    <s v="Desktop"/>
    <s v="Paid Search"/>
    <s v="Free"/>
    <n v="1"/>
    <n v="0"/>
    <n v="0"/>
    <n v="0"/>
    <n v="0"/>
    <n v="0"/>
    <n v="0"/>
    <n v="0"/>
    <n v="61.4"/>
  </r>
  <r>
    <x v="543"/>
    <d v="2025-04-17T00:00:00"/>
    <x v="0"/>
    <s v="East"/>
    <s v="Mobile"/>
    <s v="Social"/>
    <s v="Premium"/>
    <n v="1"/>
    <n v="1"/>
    <n v="1"/>
    <n v="0"/>
    <n v="0"/>
    <n v="0"/>
    <n v="0"/>
    <n v="0"/>
    <n v="76.8"/>
  </r>
  <r>
    <x v="544"/>
    <d v="2025-01-01T00:00:00"/>
    <x v="0"/>
    <s v="South"/>
    <s v="Desktop"/>
    <s v="Social"/>
    <s v="Basic"/>
    <n v="0"/>
    <n v="0"/>
    <n v="0"/>
    <n v="0"/>
    <n v="0"/>
    <n v="0"/>
    <n v="0"/>
    <n v="0"/>
    <n v="0"/>
  </r>
  <r>
    <x v="545"/>
    <d v="2025-03-18T00:00:00"/>
    <x v="0"/>
    <s v="East"/>
    <s v="Mobile"/>
    <s v="Paid Search"/>
    <s v="Basic"/>
    <n v="1"/>
    <n v="1"/>
    <n v="1"/>
    <n v="0"/>
    <n v="0"/>
    <n v="0"/>
    <n v="0"/>
    <n v="0"/>
    <n v="45.3"/>
  </r>
  <r>
    <x v="546"/>
    <d v="2025-05-20T00:00:00"/>
    <x v="0"/>
    <s v="North"/>
    <s v="Tablet"/>
    <s v="Paid Search"/>
    <s v="Free"/>
    <n v="1"/>
    <n v="0"/>
    <n v="0"/>
    <n v="0"/>
    <n v="0"/>
    <n v="0"/>
    <n v="0"/>
    <n v="0"/>
    <n v="41.4"/>
  </r>
  <r>
    <x v="547"/>
    <d v="2025-03-16T00:00:00"/>
    <x v="0"/>
    <s v="North"/>
    <s v="Mobile"/>
    <s v="Organic"/>
    <s v="Basic"/>
    <n v="1"/>
    <n v="0"/>
    <n v="0"/>
    <n v="0"/>
    <n v="0"/>
    <n v="0"/>
    <n v="0"/>
    <n v="0"/>
    <n v="37.1"/>
  </r>
  <r>
    <x v="548"/>
    <d v="2025-05-30T00:00:00"/>
    <x v="0"/>
    <s v="East"/>
    <s v="Desktop"/>
    <s v="Social"/>
    <s v="Free"/>
    <n v="1"/>
    <n v="0"/>
    <n v="0"/>
    <n v="0"/>
    <n v="0"/>
    <n v="0"/>
    <n v="0"/>
    <n v="0"/>
    <n v="40.700000000000003"/>
  </r>
  <r>
    <x v="549"/>
    <d v="2025-02-20T00:00:00"/>
    <x v="0"/>
    <s v="North"/>
    <s v="Mobile"/>
    <s v="Social"/>
    <s v="Premium"/>
    <n v="0"/>
    <n v="0"/>
    <n v="0"/>
    <n v="0"/>
    <n v="0"/>
    <n v="2"/>
    <n v="0"/>
    <n v="0"/>
    <n v="55.9"/>
  </r>
  <r>
    <x v="550"/>
    <d v="2025-02-11T00:00:00"/>
    <x v="0"/>
    <s v="East"/>
    <s v="Unknown"/>
    <s v="Social"/>
    <s v="Free"/>
    <n v="1"/>
    <n v="1"/>
    <n v="0"/>
    <n v="0"/>
    <n v="0"/>
    <n v="0"/>
    <n v="0"/>
    <n v="0"/>
    <n v="55.8"/>
  </r>
  <r>
    <x v="551"/>
    <d v="2025-01-02T00:00:00"/>
    <x v="0"/>
    <s v="South"/>
    <s v="Tablet"/>
    <s v="Referral"/>
    <s v="Basic"/>
    <n v="1"/>
    <n v="0"/>
    <n v="0"/>
    <n v="0"/>
    <n v="0"/>
    <n v="0"/>
    <n v="0"/>
    <n v="0"/>
    <n v="64.3"/>
  </r>
  <r>
    <x v="552"/>
    <d v="2025-05-03T00:00:00"/>
    <x v="0"/>
    <s v="North"/>
    <s v="Mobile"/>
    <s v="Organic"/>
    <s v="Free"/>
    <n v="0"/>
    <n v="0"/>
    <n v="0"/>
    <n v="0"/>
    <n v="0"/>
    <n v="0"/>
    <n v="0"/>
    <n v="0"/>
    <n v="65.400000000000006"/>
  </r>
  <r>
    <x v="553"/>
    <d v="2025-02-24T00:00:00"/>
    <x v="0"/>
    <s v="West"/>
    <s v="Mobile"/>
    <s v="Organic"/>
    <s v="Free"/>
    <n v="1"/>
    <n v="0"/>
    <n v="0"/>
    <n v="0"/>
    <n v="0"/>
    <n v="0"/>
    <n v="0"/>
    <n v="0"/>
    <n v="89.8"/>
  </r>
  <r>
    <x v="554"/>
    <d v="2025-02-11T00:00:00"/>
    <x v="0"/>
    <s v="South"/>
    <s v="Unknown"/>
    <s v="Organic"/>
    <s v="Free"/>
    <n v="1"/>
    <n v="1"/>
    <n v="1"/>
    <n v="0"/>
    <n v="0"/>
    <n v="0"/>
    <n v="0"/>
    <n v="0"/>
    <n v="58.3"/>
  </r>
  <r>
    <x v="555"/>
    <d v="2025-05-06T00:00:00"/>
    <x v="0"/>
    <s v="South"/>
    <s v="Mobile"/>
    <s v="Social"/>
    <s v="Basic"/>
    <n v="1"/>
    <n v="0"/>
    <n v="0"/>
    <n v="0"/>
    <n v="0"/>
    <n v="0"/>
    <n v="0"/>
    <n v="0"/>
    <n v="64.400000000000006"/>
  </r>
  <r>
    <x v="556"/>
    <d v="2025-05-23T00:00:00"/>
    <x v="0"/>
    <s v="North"/>
    <s v="Mobile"/>
    <s v="Paid Search"/>
    <s v="Premium"/>
    <n v="0"/>
    <n v="0"/>
    <n v="0"/>
    <n v="0"/>
    <n v="0"/>
    <n v="0"/>
    <n v="0"/>
    <n v="0"/>
    <n v="46.2"/>
  </r>
  <r>
    <x v="557"/>
    <d v="2025-01-09T00:00:00"/>
    <x v="0"/>
    <s v="North"/>
    <s v="Desktop"/>
    <s v="Paid Search"/>
    <s v="Free"/>
    <n v="0"/>
    <n v="0"/>
    <n v="0"/>
    <n v="0"/>
    <n v="0"/>
    <n v="0"/>
    <n v="0"/>
    <n v="0"/>
    <n v="78"/>
  </r>
  <r>
    <x v="558"/>
    <d v="2025-04-01T00:00:00"/>
    <x v="0"/>
    <s v="North"/>
    <s v="Desktop"/>
    <s v="Organic"/>
    <s v="Premium"/>
    <n v="1"/>
    <n v="0"/>
    <n v="0"/>
    <n v="0"/>
    <n v="0"/>
    <n v="0"/>
    <n v="0"/>
    <n v="0"/>
    <n v="62.3"/>
  </r>
  <r>
    <x v="559"/>
    <d v="2025-03-08T00:00:00"/>
    <x v="0"/>
    <s v="North"/>
    <s v="Mobile"/>
    <s v="Organic"/>
    <s v="Free"/>
    <n v="1"/>
    <n v="0"/>
    <n v="0"/>
    <n v="0"/>
    <n v="0"/>
    <n v="0"/>
    <n v="0"/>
    <n v="0"/>
    <n v="78.8"/>
  </r>
  <r>
    <x v="560"/>
    <d v="2025-02-20T00:00:00"/>
    <x v="0"/>
    <s v="North"/>
    <s v="Mobile"/>
    <s v="Social"/>
    <s v="Basic"/>
    <n v="1"/>
    <n v="0"/>
    <n v="0"/>
    <n v="0"/>
    <n v="0"/>
    <n v="0"/>
    <n v="0"/>
    <n v="0"/>
    <n v="25"/>
  </r>
  <r>
    <x v="561"/>
    <d v="2025-03-30T00:00:00"/>
    <x v="0"/>
    <s v="East"/>
    <s v="Mobile"/>
    <s v="Social"/>
    <s v="Basic"/>
    <n v="0"/>
    <n v="0"/>
    <n v="0"/>
    <n v="0"/>
    <n v="0"/>
    <n v="0"/>
    <n v="0"/>
    <n v="0"/>
    <n v="53.4"/>
  </r>
  <r>
    <x v="562"/>
    <d v="2025-04-10T00:00:00"/>
    <x v="0"/>
    <s v="East"/>
    <s v="Desktop"/>
    <s v="Organic"/>
    <s v="Basic"/>
    <n v="0"/>
    <n v="0"/>
    <n v="0"/>
    <n v="0"/>
    <n v="0"/>
    <n v="0"/>
    <n v="0"/>
    <n v="0"/>
    <n v="40.700000000000003"/>
  </r>
  <r>
    <x v="563"/>
    <d v="2025-03-24T00:00:00"/>
    <x v="0"/>
    <s v="East"/>
    <s v="Mobile"/>
    <s v="Organic"/>
    <s v="Premium"/>
    <n v="1"/>
    <n v="1"/>
    <n v="0"/>
    <n v="0"/>
    <n v="0"/>
    <n v="0"/>
    <n v="0"/>
    <n v="0"/>
    <n v="36.700000000000003"/>
  </r>
  <r>
    <x v="564"/>
    <d v="2025-05-21T00:00:00"/>
    <x v="0"/>
    <s v="West"/>
    <s v="Mobile"/>
    <s v="Organic"/>
    <s v="Basic"/>
    <n v="1"/>
    <n v="0"/>
    <n v="0"/>
    <n v="0"/>
    <n v="0"/>
    <n v="1"/>
    <n v="0"/>
    <n v="0"/>
    <n v="67.5"/>
  </r>
  <r>
    <x v="565"/>
    <d v="2025-03-29T00:00:00"/>
    <x v="0"/>
    <s v="East"/>
    <s v="Mobile"/>
    <s v="Social"/>
    <s v="Premium"/>
    <n v="1"/>
    <n v="1"/>
    <n v="1"/>
    <n v="0"/>
    <n v="0"/>
    <n v="0"/>
    <n v="0"/>
    <n v="0"/>
    <n v="69.900000000000006"/>
  </r>
  <r>
    <x v="566"/>
    <d v="2025-02-23T00:00:00"/>
    <x v="0"/>
    <s v="North"/>
    <s v="Tablet"/>
    <s v="Referral"/>
    <s v="Basic"/>
    <n v="1"/>
    <n v="0"/>
    <n v="0"/>
    <n v="0"/>
    <n v="0"/>
    <n v="0"/>
    <n v="0"/>
    <n v="0"/>
    <n v="65.099999999999994"/>
  </r>
  <r>
    <x v="567"/>
    <d v="2025-02-16T00:00:00"/>
    <x v="0"/>
    <s v="West"/>
    <s v="Mobile"/>
    <s v="Paid Search"/>
    <s v="Premium"/>
    <n v="1"/>
    <n v="0"/>
    <n v="0"/>
    <n v="0"/>
    <n v="0"/>
    <n v="0"/>
    <n v="0"/>
    <n v="0"/>
    <n v="48.7"/>
  </r>
  <r>
    <x v="568"/>
    <d v="2025-02-21T00:00:00"/>
    <x v="0"/>
    <s v="West"/>
    <s v="Desktop"/>
    <s v="Organic"/>
    <s v="Basic"/>
    <n v="1"/>
    <n v="1"/>
    <n v="0"/>
    <n v="0"/>
    <n v="0"/>
    <n v="0"/>
    <n v="0"/>
    <n v="0"/>
    <n v="47.2"/>
  </r>
  <r>
    <x v="569"/>
    <d v="2025-01-07T00:00:00"/>
    <x v="0"/>
    <s v="North"/>
    <s v="Mobile"/>
    <s v="Referral"/>
    <s v="Free"/>
    <n v="1"/>
    <n v="0"/>
    <n v="0"/>
    <n v="0"/>
    <n v="0"/>
    <n v="2"/>
    <n v="0"/>
    <n v="0"/>
    <n v="20.3"/>
  </r>
  <r>
    <x v="570"/>
    <d v="2025-03-06T00:00:00"/>
    <x v="0"/>
    <s v="West"/>
    <s v="Mobile"/>
    <s v="Paid Search"/>
    <s v="Free"/>
    <n v="0"/>
    <n v="0"/>
    <n v="0"/>
    <n v="0"/>
    <n v="0"/>
    <n v="1"/>
    <n v="0"/>
    <n v="0"/>
    <n v="57.8"/>
  </r>
  <r>
    <x v="571"/>
    <d v="2025-03-30T00:00:00"/>
    <x v="0"/>
    <s v="East"/>
    <s v="Mobile"/>
    <s v="Email"/>
    <s v="Basic"/>
    <n v="1"/>
    <n v="0"/>
    <n v="0"/>
    <n v="0"/>
    <n v="0"/>
    <n v="0"/>
    <n v="0"/>
    <n v="0"/>
    <n v="78.7"/>
  </r>
  <r>
    <x v="572"/>
    <d v="2025-05-31T00:00:00"/>
    <x v="0"/>
    <s v="South"/>
    <s v="Desktop"/>
    <s v="Organic"/>
    <s v="Free"/>
    <n v="1"/>
    <n v="0"/>
    <n v="0"/>
    <n v="0"/>
    <n v="0"/>
    <n v="0"/>
    <n v="0"/>
    <n v="0"/>
    <n v="63.6"/>
  </r>
  <r>
    <x v="573"/>
    <d v="2025-02-20T00:00:00"/>
    <x v="0"/>
    <s v="South"/>
    <s v="Mobile"/>
    <s v="Email"/>
    <s v="Free"/>
    <n v="0"/>
    <n v="0"/>
    <n v="0"/>
    <n v="0"/>
    <n v="0"/>
    <n v="2"/>
    <n v="0"/>
    <n v="0"/>
    <n v="45.1"/>
  </r>
  <r>
    <x v="574"/>
    <d v="2025-01-13T00:00:00"/>
    <x v="0"/>
    <s v="West"/>
    <s v="Mobile"/>
    <s v="Social"/>
    <s v="Free"/>
    <n v="0"/>
    <n v="0"/>
    <n v="0"/>
    <n v="0"/>
    <n v="0"/>
    <n v="0"/>
    <n v="0"/>
    <n v="0"/>
    <n v="77.5"/>
  </r>
  <r>
    <x v="575"/>
    <d v="2025-05-13T00:00:00"/>
    <x v="0"/>
    <s v="East"/>
    <s v="Desktop"/>
    <s v="Paid Search"/>
    <s v="Basic"/>
    <n v="1"/>
    <n v="1"/>
    <n v="0"/>
    <n v="0"/>
    <n v="0"/>
    <n v="0"/>
    <n v="0"/>
    <n v="0"/>
    <n v="58"/>
  </r>
  <r>
    <x v="576"/>
    <d v="2025-04-21T00:00:00"/>
    <x v="0"/>
    <s v="South"/>
    <s v="Tablet"/>
    <s v="Organic"/>
    <s v="Free"/>
    <n v="1"/>
    <n v="0"/>
    <n v="0"/>
    <n v="0"/>
    <n v="0"/>
    <n v="0"/>
    <n v="0"/>
    <n v="0"/>
    <n v="68.099999999999994"/>
  </r>
  <r>
    <x v="577"/>
    <d v="2025-03-01T00:00:00"/>
    <x v="0"/>
    <s v="East"/>
    <s v="Tablet"/>
    <s v="Organic"/>
    <s v="Premium"/>
    <n v="1"/>
    <n v="0"/>
    <n v="0"/>
    <n v="0"/>
    <n v="0"/>
    <n v="0"/>
    <n v="0"/>
    <n v="0"/>
    <n v="35.4"/>
  </r>
  <r>
    <x v="578"/>
    <d v="2025-03-10T00:00:00"/>
    <x v="0"/>
    <s v="West"/>
    <s v="Tablet"/>
    <s v="Organic"/>
    <s v="Free"/>
    <n v="0"/>
    <n v="0"/>
    <n v="0"/>
    <n v="0"/>
    <n v="0"/>
    <n v="0"/>
    <n v="0"/>
    <n v="0"/>
    <n v="47"/>
  </r>
  <r>
    <x v="579"/>
    <d v="2025-03-08T00:00:00"/>
    <x v="0"/>
    <s v="East"/>
    <s v="Desktop"/>
    <s v="Paid Search"/>
    <s v="Free"/>
    <n v="0"/>
    <n v="0"/>
    <n v="0"/>
    <n v="0"/>
    <n v="0"/>
    <n v="0"/>
    <n v="0"/>
    <n v="0"/>
    <n v="75"/>
  </r>
  <r>
    <x v="580"/>
    <d v="2025-05-26T00:00:00"/>
    <x v="0"/>
    <s v="South"/>
    <s v="Desktop"/>
    <s v="Paid Search"/>
    <s v="Free"/>
    <n v="1"/>
    <n v="1"/>
    <n v="1"/>
    <n v="0"/>
    <n v="0"/>
    <n v="3"/>
    <n v="0"/>
    <n v="0"/>
    <n v="50.2"/>
  </r>
  <r>
    <x v="581"/>
    <d v="2025-05-20T00:00:00"/>
    <x v="0"/>
    <s v="East"/>
    <s v="Desktop"/>
    <s v="Paid Search"/>
    <s v="Free"/>
    <n v="1"/>
    <n v="0"/>
    <n v="0"/>
    <n v="0"/>
    <n v="0"/>
    <n v="0"/>
    <n v="0"/>
    <n v="0"/>
    <n v="40.1"/>
  </r>
  <r>
    <x v="582"/>
    <d v="2025-03-22T00:00:00"/>
    <x v="0"/>
    <s v="West"/>
    <s v="Desktop"/>
    <s v="Paid Search"/>
    <s v="Free"/>
    <n v="0"/>
    <n v="0"/>
    <n v="0"/>
    <n v="0"/>
    <n v="0"/>
    <n v="0"/>
    <n v="0"/>
    <n v="0"/>
    <n v="61.1"/>
  </r>
  <r>
    <x v="583"/>
    <d v="2025-02-15T00:00:00"/>
    <x v="0"/>
    <s v="South"/>
    <s v="Desktop"/>
    <s v="Paid Search"/>
    <s v="Free"/>
    <n v="0"/>
    <n v="0"/>
    <n v="0"/>
    <n v="0"/>
    <n v="0"/>
    <n v="0"/>
    <n v="0"/>
    <n v="0"/>
    <n v="42.4"/>
  </r>
  <r>
    <x v="584"/>
    <d v="2025-01-08T00:00:00"/>
    <x v="0"/>
    <s v="North"/>
    <s v="Mobile"/>
    <s v="Social"/>
    <s v="Free"/>
    <n v="0"/>
    <n v="0"/>
    <n v="0"/>
    <n v="0"/>
    <n v="0"/>
    <n v="1"/>
    <n v="0"/>
    <n v="0"/>
    <n v="46.6"/>
  </r>
  <r>
    <x v="585"/>
    <d v="2025-01-29T00:00:00"/>
    <x v="0"/>
    <s v="South"/>
    <s v="Mobile"/>
    <s v="Organic"/>
    <s v="Premium"/>
    <n v="1"/>
    <n v="1"/>
    <n v="0"/>
    <n v="0"/>
    <n v="0"/>
    <n v="0"/>
    <n v="0"/>
    <n v="0"/>
    <n v="72.099999999999994"/>
  </r>
  <r>
    <x v="586"/>
    <d v="2025-05-07T00:00:00"/>
    <x v="0"/>
    <s v="East"/>
    <s v="Tablet"/>
    <s v="Organic"/>
    <s v="Free"/>
    <n v="0"/>
    <n v="0"/>
    <n v="0"/>
    <n v="0"/>
    <n v="0"/>
    <n v="0"/>
    <n v="0"/>
    <n v="0"/>
    <n v="21.5"/>
  </r>
  <r>
    <x v="587"/>
    <d v="2025-03-01T00:00:00"/>
    <x v="0"/>
    <s v="North"/>
    <s v="Mobile"/>
    <s v="Social"/>
    <s v="Basic"/>
    <n v="1"/>
    <n v="0"/>
    <n v="0"/>
    <n v="0"/>
    <n v="0"/>
    <n v="1"/>
    <n v="0"/>
    <n v="0"/>
    <n v="65.400000000000006"/>
  </r>
  <r>
    <x v="588"/>
    <d v="2025-04-20T00:00:00"/>
    <x v="0"/>
    <s v="East"/>
    <s v="Mobile"/>
    <s v="Organic"/>
    <s v="Free"/>
    <n v="1"/>
    <n v="1"/>
    <n v="0"/>
    <n v="0"/>
    <n v="0"/>
    <n v="0"/>
    <n v="0"/>
    <n v="0"/>
    <n v="53.3"/>
  </r>
  <r>
    <x v="589"/>
    <d v="2025-01-16T00:00:00"/>
    <x v="0"/>
    <s v="East"/>
    <s v="Mobile"/>
    <s v="Organic"/>
    <s v="Premium"/>
    <n v="0"/>
    <n v="0"/>
    <n v="0"/>
    <n v="0"/>
    <n v="0"/>
    <n v="2"/>
    <n v="0"/>
    <n v="0"/>
    <n v="52.3"/>
  </r>
  <r>
    <x v="590"/>
    <d v="2025-04-04T00:00:00"/>
    <x v="0"/>
    <s v="East"/>
    <s v="Mobile"/>
    <s v="Paid Search"/>
    <s v="Free"/>
    <n v="1"/>
    <n v="0"/>
    <n v="0"/>
    <n v="0"/>
    <n v="0"/>
    <n v="0"/>
    <n v="0"/>
    <n v="0"/>
    <n v="62.5"/>
  </r>
  <r>
    <x v="591"/>
    <d v="2025-01-29T00:00:00"/>
    <x v="0"/>
    <s v="North"/>
    <s v="Tablet"/>
    <s v="Social"/>
    <s v="Free"/>
    <n v="1"/>
    <n v="0"/>
    <n v="0"/>
    <n v="0"/>
    <n v="0"/>
    <n v="0"/>
    <n v="0"/>
    <n v="0"/>
    <n v="69.8"/>
  </r>
  <r>
    <x v="592"/>
    <d v="2025-04-19T00:00:00"/>
    <x v="0"/>
    <s v="East"/>
    <s v="Mobile"/>
    <s v="Email"/>
    <s v="Free"/>
    <n v="1"/>
    <n v="0"/>
    <n v="0"/>
    <n v="0"/>
    <n v="0"/>
    <n v="0"/>
    <n v="0"/>
    <n v="0"/>
    <n v="68.2"/>
  </r>
  <r>
    <x v="593"/>
    <d v="2025-03-10T00:00:00"/>
    <x v="0"/>
    <s v="South"/>
    <s v="Mobile"/>
    <s v="Social"/>
    <s v="Basic"/>
    <n v="1"/>
    <n v="1"/>
    <n v="1"/>
    <n v="1"/>
    <n v="751.73"/>
    <n v="0"/>
    <n v="0"/>
    <n v="6"/>
    <n v="35.200000000000003"/>
  </r>
  <r>
    <x v="594"/>
    <d v="2025-05-10T00:00:00"/>
    <x v="0"/>
    <s v="South"/>
    <s v="Mobile"/>
    <s v="Social"/>
    <s v="Basic"/>
    <n v="0"/>
    <n v="0"/>
    <n v="0"/>
    <n v="0"/>
    <n v="0"/>
    <n v="0"/>
    <n v="0"/>
    <n v="0"/>
    <n v="59.3"/>
  </r>
  <r>
    <x v="595"/>
    <d v="2025-02-02T00:00:00"/>
    <x v="0"/>
    <s v="North"/>
    <s v="Mobile"/>
    <s v="Social"/>
    <s v="Free"/>
    <n v="0"/>
    <n v="0"/>
    <n v="0"/>
    <n v="0"/>
    <n v="0"/>
    <n v="0"/>
    <n v="0"/>
    <n v="0"/>
    <n v="68.099999999999994"/>
  </r>
  <r>
    <x v="596"/>
    <d v="2025-05-06T00:00:00"/>
    <x v="0"/>
    <s v="North"/>
    <s v="Desktop"/>
    <s v="Organic"/>
    <s v="Free"/>
    <n v="1"/>
    <n v="1"/>
    <n v="0"/>
    <n v="0"/>
    <n v="0"/>
    <n v="0"/>
    <n v="0"/>
    <n v="0"/>
    <n v="74.8"/>
  </r>
  <r>
    <x v="597"/>
    <d v="2025-01-19T00:00:00"/>
    <x v="0"/>
    <s v="West"/>
    <s v="Desktop"/>
    <s v="Organic"/>
    <s v="Free"/>
    <n v="1"/>
    <n v="1"/>
    <n v="1"/>
    <n v="0"/>
    <n v="0"/>
    <n v="0"/>
    <n v="0"/>
    <n v="0"/>
    <n v="61.7"/>
  </r>
  <r>
    <x v="598"/>
    <d v="2025-01-02T00:00:00"/>
    <x v="0"/>
    <s v="North"/>
    <s v="Mobile"/>
    <s v="Organic"/>
    <s v="Free"/>
    <n v="1"/>
    <n v="0"/>
    <n v="0"/>
    <n v="0"/>
    <n v="0"/>
    <n v="0"/>
    <n v="0"/>
    <n v="0"/>
    <n v="24.3"/>
  </r>
  <r>
    <x v="599"/>
    <d v="2025-05-03T00:00:00"/>
    <x v="0"/>
    <s v="South"/>
    <s v="Desktop"/>
    <s v="Paid Search"/>
    <s v="Free"/>
    <n v="0"/>
    <n v="0"/>
    <n v="0"/>
    <n v="0"/>
    <n v="0"/>
    <n v="1"/>
    <n v="0"/>
    <n v="0"/>
    <n v="61.9"/>
  </r>
  <r>
    <x v="600"/>
    <d v="2025-05-27T00:00:00"/>
    <x v="0"/>
    <s v="East"/>
    <s v="Desktop"/>
    <s v="Referral"/>
    <s v="Premium"/>
    <n v="0"/>
    <n v="0"/>
    <n v="0"/>
    <n v="0"/>
    <n v="0"/>
    <n v="2"/>
    <n v="0"/>
    <n v="0"/>
    <n v="41.7"/>
  </r>
  <r>
    <x v="601"/>
    <d v="2025-02-09T00:00:00"/>
    <x v="0"/>
    <s v="South"/>
    <s v="Desktop"/>
    <s v="Social"/>
    <s v="Free"/>
    <n v="1"/>
    <n v="0"/>
    <n v="0"/>
    <n v="0"/>
    <n v="0"/>
    <n v="0"/>
    <n v="0"/>
    <n v="0"/>
    <n v="87.6"/>
  </r>
  <r>
    <x v="602"/>
    <d v="2025-05-18T00:00:00"/>
    <x v="0"/>
    <s v="East"/>
    <s v="Mobile"/>
    <s v="Paid Search"/>
    <s v="Free"/>
    <n v="1"/>
    <n v="0"/>
    <n v="0"/>
    <n v="0"/>
    <n v="0"/>
    <n v="0"/>
    <n v="0"/>
    <n v="0"/>
    <n v="30.8"/>
  </r>
  <r>
    <x v="603"/>
    <d v="2025-05-17T00:00:00"/>
    <x v="0"/>
    <s v="North"/>
    <s v="Mobile"/>
    <s v="Email"/>
    <s v="Free"/>
    <n v="0"/>
    <n v="0"/>
    <n v="0"/>
    <n v="0"/>
    <n v="0"/>
    <n v="0"/>
    <n v="0"/>
    <n v="0"/>
    <n v="54"/>
  </r>
  <r>
    <x v="604"/>
    <d v="2025-01-25T00:00:00"/>
    <x v="0"/>
    <s v="East"/>
    <s v="Desktop"/>
    <s v="Referral"/>
    <s v="Basic"/>
    <n v="1"/>
    <n v="0"/>
    <n v="0"/>
    <n v="0"/>
    <n v="0"/>
    <n v="1"/>
    <n v="0"/>
    <n v="0"/>
    <n v="54.5"/>
  </r>
  <r>
    <x v="605"/>
    <d v="2025-05-04T00:00:00"/>
    <x v="0"/>
    <s v="West"/>
    <s v="Mobile"/>
    <s v="Paid Search"/>
    <s v="Premium"/>
    <n v="1"/>
    <n v="1"/>
    <n v="0"/>
    <n v="0"/>
    <n v="0"/>
    <n v="0"/>
    <n v="0"/>
    <n v="0"/>
    <n v="61.3"/>
  </r>
  <r>
    <x v="606"/>
    <d v="2025-04-14T00:00:00"/>
    <x v="0"/>
    <s v="West"/>
    <s v="Mobile"/>
    <s v="Organic"/>
    <s v="Free"/>
    <n v="1"/>
    <n v="0"/>
    <n v="0"/>
    <n v="0"/>
    <n v="0"/>
    <n v="0"/>
    <n v="0"/>
    <n v="0"/>
    <n v="62.7"/>
  </r>
  <r>
    <x v="607"/>
    <d v="2025-04-18T00:00:00"/>
    <x v="0"/>
    <s v="South"/>
    <s v="Mobile"/>
    <s v="Paid Search"/>
    <s v="Free"/>
    <n v="1"/>
    <n v="1"/>
    <n v="0"/>
    <n v="0"/>
    <n v="0"/>
    <n v="0"/>
    <n v="0"/>
    <n v="0"/>
    <n v="43.1"/>
  </r>
  <r>
    <x v="608"/>
    <d v="2025-02-24T00:00:00"/>
    <x v="0"/>
    <s v="South"/>
    <s v="Desktop"/>
    <s v="Email"/>
    <s v="Basic"/>
    <n v="0"/>
    <n v="0"/>
    <n v="0"/>
    <n v="0"/>
    <n v="0"/>
    <n v="0"/>
    <n v="0"/>
    <n v="0"/>
    <n v="59.9"/>
  </r>
  <r>
    <x v="609"/>
    <d v="2025-04-19T00:00:00"/>
    <x v="0"/>
    <s v="North"/>
    <s v="Tablet"/>
    <s v="Paid Search"/>
    <s v="Free"/>
    <n v="1"/>
    <n v="1"/>
    <n v="1"/>
    <n v="0"/>
    <n v="0"/>
    <n v="0"/>
    <n v="0"/>
    <n v="0"/>
    <n v="55.7"/>
  </r>
  <r>
    <x v="610"/>
    <d v="2025-03-07T00:00:00"/>
    <x v="0"/>
    <s v="South"/>
    <s v="Desktop"/>
    <s v="Organic"/>
    <s v="Basic"/>
    <n v="1"/>
    <n v="0"/>
    <n v="0"/>
    <n v="0"/>
    <n v="0"/>
    <n v="0"/>
    <n v="0"/>
    <n v="0"/>
    <n v="37.1"/>
  </r>
  <r>
    <x v="611"/>
    <d v="2025-03-09T00:00:00"/>
    <x v="0"/>
    <s v="East"/>
    <s v="Mobile"/>
    <s v="Organic"/>
    <s v="Basic"/>
    <n v="0"/>
    <n v="0"/>
    <n v="0"/>
    <n v="0"/>
    <n v="0"/>
    <n v="1"/>
    <n v="0"/>
    <n v="0"/>
    <n v="46.7"/>
  </r>
  <r>
    <x v="612"/>
    <d v="2025-05-01T00:00:00"/>
    <x v="0"/>
    <s v="South"/>
    <s v="Desktop"/>
    <s v="Organic"/>
    <s v="Basic"/>
    <n v="1"/>
    <n v="0"/>
    <n v="0"/>
    <n v="0"/>
    <n v="0"/>
    <n v="0"/>
    <n v="0"/>
    <n v="0"/>
    <n v="54.1"/>
  </r>
  <r>
    <x v="613"/>
    <d v="2025-02-09T00:00:00"/>
    <x v="0"/>
    <s v="West"/>
    <s v="Desktop"/>
    <s v="Organic"/>
    <s v="Premium"/>
    <n v="1"/>
    <n v="1"/>
    <n v="1"/>
    <n v="0"/>
    <n v="0"/>
    <n v="0"/>
    <n v="0"/>
    <n v="0"/>
    <n v="56.1"/>
  </r>
  <r>
    <x v="614"/>
    <d v="2025-05-22T00:00:00"/>
    <x v="0"/>
    <s v="West"/>
    <s v="Mobile"/>
    <s v="Referral"/>
    <s v="Premium"/>
    <n v="0"/>
    <n v="0"/>
    <n v="0"/>
    <n v="0"/>
    <n v="0"/>
    <n v="0"/>
    <n v="0"/>
    <n v="0"/>
    <n v="23.6"/>
  </r>
  <r>
    <x v="615"/>
    <d v="2025-02-11T00:00:00"/>
    <x v="0"/>
    <s v="North"/>
    <s v="Mobile"/>
    <s v="Organic"/>
    <s v="Premium"/>
    <n v="0"/>
    <n v="0"/>
    <n v="0"/>
    <n v="0"/>
    <n v="0"/>
    <n v="0"/>
    <n v="0"/>
    <n v="0"/>
    <n v="54.7"/>
  </r>
  <r>
    <x v="616"/>
    <d v="2025-04-12T00:00:00"/>
    <x v="0"/>
    <s v="North"/>
    <s v="Mobile"/>
    <s v="Referral"/>
    <s v="Basic"/>
    <n v="0"/>
    <n v="0"/>
    <n v="0"/>
    <n v="0"/>
    <n v="0"/>
    <n v="2"/>
    <n v="0"/>
    <n v="0"/>
    <n v="50.4"/>
  </r>
  <r>
    <x v="617"/>
    <d v="2025-03-01T00:00:00"/>
    <x v="0"/>
    <s v="West"/>
    <s v="Mobile"/>
    <s v="Social"/>
    <s v="Free"/>
    <n v="1"/>
    <n v="0"/>
    <n v="0"/>
    <n v="0"/>
    <n v="0"/>
    <n v="0"/>
    <n v="0"/>
    <n v="0"/>
    <n v="54.5"/>
  </r>
  <r>
    <x v="618"/>
    <d v="2025-03-17T00:00:00"/>
    <x v="0"/>
    <s v="West"/>
    <s v="Desktop"/>
    <s v="Email"/>
    <s v="Basic"/>
    <n v="0"/>
    <n v="0"/>
    <n v="0"/>
    <n v="0"/>
    <n v="0"/>
    <n v="0"/>
    <n v="0"/>
    <n v="0"/>
    <n v="58"/>
  </r>
  <r>
    <x v="619"/>
    <d v="2025-01-11T00:00:00"/>
    <x v="0"/>
    <s v="North"/>
    <s v="Mobile"/>
    <s v="Paid Search"/>
    <s v="Free"/>
    <n v="0"/>
    <n v="0"/>
    <n v="0"/>
    <n v="0"/>
    <n v="0"/>
    <n v="0"/>
    <n v="0"/>
    <n v="0"/>
    <n v="42.9"/>
  </r>
  <r>
    <x v="620"/>
    <d v="2025-02-17T00:00:00"/>
    <x v="0"/>
    <s v="South"/>
    <s v="Mobile"/>
    <s v="Social"/>
    <s v="Premium"/>
    <n v="1"/>
    <n v="0"/>
    <n v="0"/>
    <n v="0"/>
    <n v="0"/>
    <n v="0"/>
    <n v="0"/>
    <n v="0"/>
    <n v="51.1"/>
  </r>
  <r>
    <x v="621"/>
    <d v="2025-03-25T00:00:00"/>
    <x v="0"/>
    <s v="East"/>
    <s v="Mobile"/>
    <s v="Paid Search"/>
    <s v="Basic"/>
    <n v="1"/>
    <n v="1"/>
    <n v="0"/>
    <n v="0"/>
    <n v="0"/>
    <n v="0"/>
    <n v="0"/>
    <n v="0"/>
    <n v="51.8"/>
  </r>
  <r>
    <x v="622"/>
    <d v="2025-05-01T00:00:00"/>
    <x v="0"/>
    <s v="South"/>
    <s v="Mobile"/>
    <s v="Paid Search"/>
    <s v="Free"/>
    <n v="0"/>
    <n v="0"/>
    <n v="0"/>
    <n v="0"/>
    <n v="0"/>
    <n v="0"/>
    <n v="0"/>
    <n v="0"/>
    <n v="67.7"/>
  </r>
  <r>
    <x v="623"/>
    <d v="2025-04-02T00:00:00"/>
    <x v="0"/>
    <s v="East"/>
    <s v="Mobile"/>
    <s v="Organic"/>
    <s v="Basic"/>
    <n v="0"/>
    <n v="0"/>
    <n v="0"/>
    <n v="0"/>
    <n v="0"/>
    <n v="0"/>
    <n v="0"/>
    <n v="0"/>
    <n v="75.8"/>
  </r>
  <r>
    <x v="624"/>
    <d v="2025-04-05T00:00:00"/>
    <x v="0"/>
    <s v="East"/>
    <s v="Mobile"/>
    <s v="Email"/>
    <s v="Free"/>
    <n v="1"/>
    <n v="1"/>
    <n v="0"/>
    <n v="0"/>
    <n v="0"/>
    <n v="0"/>
    <n v="0"/>
    <n v="0"/>
    <n v="72.8"/>
  </r>
  <r>
    <x v="625"/>
    <d v="2025-02-24T00:00:00"/>
    <x v="0"/>
    <s v="North"/>
    <s v="Desktop"/>
    <s v="Social"/>
    <s v="Free"/>
    <n v="1"/>
    <n v="1"/>
    <n v="0"/>
    <n v="0"/>
    <n v="0"/>
    <n v="0"/>
    <n v="0"/>
    <n v="0"/>
    <n v="54.4"/>
  </r>
  <r>
    <x v="626"/>
    <d v="2025-01-24T00:00:00"/>
    <x v="0"/>
    <s v="West"/>
    <s v="Mobile"/>
    <s v="Paid Search"/>
    <s v="Basic"/>
    <n v="1"/>
    <n v="0"/>
    <n v="0"/>
    <n v="0"/>
    <n v="0"/>
    <n v="0"/>
    <n v="0"/>
    <n v="0"/>
    <n v="51.8"/>
  </r>
  <r>
    <x v="627"/>
    <d v="2025-04-10T00:00:00"/>
    <x v="0"/>
    <s v="South"/>
    <s v="Mobile"/>
    <s v="Paid Search"/>
    <s v="Free"/>
    <n v="0"/>
    <n v="0"/>
    <n v="0"/>
    <n v="0"/>
    <n v="0"/>
    <n v="0"/>
    <n v="0"/>
    <n v="0"/>
    <n v="40.299999999999997"/>
  </r>
  <r>
    <x v="628"/>
    <d v="2025-02-19T00:00:00"/>
    <x v="0"/>
    <s v="South"/>
    <s v="Mobile"/>
    <s v="Referral"/>
    <s v="Free"/>
    <n v="1"/>
    <n v="1"/>
    <n v="1"/>
    <n v="0"/>
    <n v="0"/>
    <n v="0"/>
    <n v="0"/>
    <n v="0"/>
    <n v="61.7"/>
  </r>
  <r>
    <x v="629"/>
    <d v="2025-03-22T00:00:00"/>
    <x v="0"/>
    <s v="North"/>
    <s v="Mobile"/>
    <s v="Social"/>
    <s v="Free"/>
    <n v="0"/>
    <n v="0"/>
    <n v="0"/>
    <n v="0"/>
    <n v="0"/>
    <n v="0"/>
    <n v="0"/>
    <n v="0"/>
    <n v="45"/>
  </r>
  <r>
    <x v="630"/>
    <d v="2025-04-08T00:00:00"/>
    <x v="0"/>
    <s v="East"/>
    <s v="Desktop"/>
    <s v="Organic"/>
    <s v="Premium"/>
    <n v="1"/>
    <n v="1"/>
    <n v="1"/>
    <n v="0"/>
    <n v="0"/>
    <n v="0"/>
    <n v="0"/>
    <n v="0"/>
    <n v="60"/>
  </r>
  <r>
    <x v="631"/>
    <d v="2025-03-16T00:00:00"/>
    <x v="0"/>
    <s v="North"/>
    <s v="Mobile"/>
    <s v="Social"/>
    <s v="Free"/>
    <n v="1"/>
    <n v="0"/>
    <n v="0"/>
    <n v="0"/>
    <n v="0"/>
    <n v="0"/>
    <n v="0"/>
    <n v="0"/>
    <n v="0"/>
  </r>
  <r>
    <x v="632"/>
    <d v="2025-03-07T00:00:00"/>
    <x v="0"/>
    <s v="East"/>
    <s v="Mobile"/>
    <s v="Paid Search"/>
    <s v="Free"/>
    <n v="1"/>
    <n v="0"/>
    <n v="0"/>
    <n v="0"/>
    <n v="0"/>
    <n v="0"/>
    <n v="0"/>
    <n v="0"/>
    <n v="55.5"/>
  </r>
  <r>
    <x v="633"/>
    <d v="2025-03-16T00:00:00"/>
    <x v="0"/>
    <s v="South"/>
    <s v="Mobile"/>
    <s v="Referral"/>
    <s v="Basic"/>
    <n v="0"/>
    <n v="0"/>
    <n v="0"/>
    <n v="0"/>
    <n v="0"/>
    <n v="0"/>
    <n v="0"/>
    <n v="0"/>
    <n v="51.8"/>
  </r>
  <r>
    <x v="634"/>
    <d v="2025-05-26T00:00:00"/>
    <x v="0"/>
    <s v="East"/>
    <s v="Mobile"/>
    <s v="Unknown"/>
    <s v="Premium"/>
    <n v="1"/>
    <n v="0"/>
    <n v="0"/>
    <n v="0"/>
    <n v="0"/>
    <n v="3"/>
    <n v="0"/>
    <n v="0"/>
    <n v="56"/>
  </r>
  <r>
    <x v="635"/>
    <d v="2025-01-14T00:00:00"/>
    <x v="0"/>
    <s v="West"/>
    <s v="Mobile"/>
    <s v="Organic"/>
    <s v="Free"/>
    <n v="0"/>
    <n v="0"/>
    <n v="0"/>
    <n v="0"/>
    <n v="0"/>
    <n v="0"/>
    <n v="0"/>
    <n v="0"/>
    <n v="52.5"/>
  </r>
  <r>
    <x v="636"/>
    <d v="2025-03-30T00:00:00"/>
    <x v="0"/>
    <s v="West"/>
    <s v="Mobile"/>
    <s v="Paid Search"/>
    <s v="Premium"/>
    <n v="1"/>
    <n v="0"/>
    <n v="0"/>
    <n v="0"/>
    <n v="0"/>
    <n v="0"/>
    <n v="0"/>
    <n v="0"/>
    <n v="42.5"/>
  </r>
  <r>
    <x v="637"/>
    <d v="2025-05-12T00:00:00"/>
    <x v="0"/>
    <s v="East"/>
    <s v="Desktop"/>
    <s v="Email"/>
    <s v="Free"/>
    <n v="1"/>
    <n v="1"/>
    <n v="1"/>
    <n v="0"/>
    <n v="0"/>
    <n v="0"/>
    <n v="0"/>
    <n v="0"/>
    <n v="65.3"/>
  </r>
  <r>
    <x v="638"/>
    <d v="2025-05-10T00:00:00"/>
    <x v="0"/>
    <s v="West"/>
    <s v="Mobile"/>
    <s v="Paid Search"/>
    <s v="Free"/>
    <n v="0"/>
    <n v="0"/>
    <n v="0"/>
    <n v="0"/>
    <n v="0"/>
    <n v="0"/>
    <n v="0"/>
    <n v="0"/>
    <n v="37.6"/>
  </r>
  <r>
    <x v="639"/>
    <d v="2025-04-09T00:00:00"/>
    <x v="0"/>
    <s v="East"/>
    <s v="Mobile"/>
    <s v="Social"/>
    <s v="Basic"/>
    <n v="0"/>
    <n v="0"/>
    <n v="0"/>
    <n v="0"/>
    <n v="0"/>
    <n v="0"/>
    <n v="0"/>
    <n v="0"/>
    <n v="57.8"/>
  </r>
  <r>
    <x v="640"/>
    <d v="2025-05-26T00:00:00"/>
    <x v="0"/>
    <s v="North"/>
    <s v="Mobile"/>
    <s v="Social"/>
    <s v="Free"/>
    <n v="1"/>
    <n v="0"/>
    <n v="0"/>
    <n v="0"/>
    <n v="0"/>
    <n v="0"/>
    <n v="0"/>
    <n v="0"/>
    <n v="52.7"/>
  </r>
  <r>
    <x v="641"/>
    <d v="2025-02-12T00:00:00"/>
    <x v="0"/>
    <s v="North"/>
    <s v="Mobile"/>
    <s v="Organic"/>
    <s v="Free"/>
    <n v="1"/>
    <n v="0"/>
    <n v="0"/>
    <n v="0"/>
    <n v="0"/>
    <n v="0"/>
    <n v="0"/>
    <n v="0"/>
    <n v="51.7"/>
  </r>
  <r>
    <x v="642"/>
    <d v="2025-04-01T00:00:00"/>
    <x v="0"/>
    <s v="North"/>
    <s v="Desktop"/>
    <s v="Email"/>
    <s v="Basic"/>
    <n v="0"/>
    <n v="0"/>
    <n v="0"/>
    <n v="0"/>
    <n v="0"/>
    <n v="0"/>
    <n v="0"/>
    <n v="0"/>
    <n v="57"/>
  </r>
  <r>
    <x v="643"/>
    <d v="2025-01-18T00:00:00"/>
    <x v="0"/>
    <s v="South"/>
    <s v="Desktop"/>
    <s v="Organic"/>
    <s v="Basic"/>
    <n v="0"/>
    <n v="0"/>
    <n v="0"/>
    <n v="0"/>
    <n v="0"/>
    <n v="0"/>
    <n v="0"/>
    <n v="0"/>
    <n v="39.5"/>
  </r>
  <r>
    <x v="644"/>
    <d v="2025-04-06T00:00:00"/>
    <x v="0"/>
    <s v="East"/>
    <s v="Tablet"/>
    <s v="Organic"/>
    <s v="Free"/>
    <n v="1"/>
    <n v="0"/>
    <n v="0"/>
    <n v="0"/>
    <n v="0"/>
    <n v="0"/>
    <n v="0"/>
    <n v="0"/>
    <n v="76.5"/>
  </r>
  <r>
    <x v="645"/>
    <d v="2025-04-17T00:00:00"/>
    <x v="0"/>
    <s v="East"/>
    <s v="Mobile"/>
    <s v="Organic"/>
    <s v="Free"/>
    <n v="1"/>
    <n v="0"/>
    <n v="0"/>
    <n v="0"/>
    <n v="0"/>
    <n v="0"/>
    <n v="0"/>
    <n v="0"/>
    <n v="32.4"/>
  </r>
  <r>
    <x v="646"/>
    <d v="2025-02-07T00:00:00"/>
    <x v="0"/>
    <s v="North"/>
    <s v="Desktop"/>
    <s v="Paid Search"/>
    <s v="Free"/>
    <n v="0"/>
    <n v="0"/>
    <n v="0"/>
    <n v="0"/>
    <n v="0"/>
    <n v="0"/>
    <n v="0"/>
    <n v="0"/>
    <n v="58.6"/>
  </r>
  <r>
    <x v="647"/>
    <d v="2025-03-04T00:00:00"/>
    <x v="0"/>
    <s v="East"/>
    <s v="Mobile"/>
    <s v="Organic"/>
    <s v="Basic"/>
    <n v="1"/>
    <n v="0"/>
    <n v="0"/>
    <n v="0"/>
    <n v="0"/>
    <n v="0"/>
    <n v="0"/>
    <n v="0"/>
    <n v="78.599999999999994"/>
  </r>
  <r>
    <x v="648"/>
    <d v="2025-02-17T00:00:00"/>
    <x v="0"/>
    <s v="North"/>
    <s v="Desktop"/>
    <s v="Organic"/>
    <s v="Premium"/>
    <n v="0"/>
    <n v="0"/>
    <n v="0"/>
    <n v="0"/>
    <n v="0"/>
    <n v="0"/>
    <n v="0"/>
    <n v="0"/>
    <n v="54.5"/>
  </r>
  <r>
    <x v="649"/>
    <d v="2025-05-06T00:00:00"/>
    <x v="0"/>
    <s v="South"/>
    <s v="Mobile"/>
    <s v="Referral"/>
    <s v="Free"/>
    <n v="1"/>
    <n v="0"/>
    <n v="0"/>
    <n v="0"/>
    <n v="0"/>
    <n v="0"/>
    <n v="0"/>
    <n v="0"/>
    <n v="57.6"/>
  </r>
  <r>
    <x v="650"/>
    <d v="2025-03-25T00:00:00"/>
    <x v="0"/>
    <s v="South"/>
    <s v="Mobile"/>
    <s v="Referral"/>
    <s v="Premium"/>
    <n v="0"/>
    <n v="0"/>
    <n v="0"/>
    <n v="0"/>
    <n v="0"/>
    <n v="0"/>
    <n v="0"/>
    <n v="0"/>
    <n v="52.8"/>
  </r>
  <r>
    <x v="651"/>
    <d v="2025-03-04T00:00:00"/>
    <x v="0"/>
    <s v="West"/>
    <s v="Mobile"/>
    <s v="Email"/>
    <s v="Premium"/>
    <n v="1"/>
    <n v="0"/>
    <n v="0"/>
    <n v="0"/>
    <n v="0"/>
    <n v="0"/>
    <n v="0"/>
    <n v="0"/>
    <n v="52.9"/>
  </r>
  <r>
    <x v="652"/>
    <d v="2025-05-09T00:00:00"/>
    <x v="0"/>
    <s v="West"/>
    <s v="Mobile"/>
    <s v="Organic"/>
    <s v="Free"/>
    <n v="1"/>
    <n v="0"/>
    <n v="0"/>
    <n v="0"/>
    <n v="0"/>
    <n v="1"/>
    <n v="0"/>
    <n v="0"/>
    <n v="55.9"/>
  </r>
  <r>
    <x v="653"/>
    <d v="2025-05-17T00:00:00"/>
    <x v="0"/>
    <s v="West"/>
    <s v="Mobile"/>
    <s v="Referral"/>
    <s v="Premium"/>
    <n v="1"/>
    <n v="0"/>
    <n v="0"/>
    <n v="0"/>
    <n v="0"/>
    <n v="0"/>
    <n v="0"/>
    <n v="0"/>
    <n v="74.2"/>
  </r>
  <r>
    <x v="654"/>
    <d v="2025-01-12T00:00:00"/>
    <x v="0"/>
    <s v="West"/>
    <s v="Mobile"/>
    <s v="Organic"/>
    <s v="Free"/>
    <n v="0"/>
    <n v="0"/>
    <n v="0"/>
    <n v="0"/>
    <n v="0"/>
    <n v="0"/>
    <n v="0"/>
    <n v="0"/>
    <n v="46.3"/>
  </r>
  <r>
    <x v="655"/>
    <d v="2025-03-12T00:00:00"/>
    <x v="0"/>
    <s v="West"/>
    <s v="Mobile"/>
    <s v="Organic"/>
    <s v="Premium"/>
    <n v="1"/>
    <n v="0"/>
    <n v="0"/>
    <n v="0"/>
    <n v="0"/>
    <n v="0"/>
    <n v="0"/>
    <n v="0"/>
    <n v="62"/>
  </r>
  <r>
    <x v="656"/>
    <d v="2025-04-02T00:00:00"/>
    <x v="0"/>
    <s v="South"/>
    <s v="Mobile"/>
    <s v="Organic"/>
    <s v="Basic"/>
    <n v="0"/>
    <n v="0"/>
    <n v="0"/>
    <n v="0"/>
    <n v="0"/>
    <n v="0"/>
    <n v="0"/>
    <n v="0"/>
    <n v="55.6"/>
  </r>
  <r>
    <x v="657"/>
    <d v="2025-01-13T00:00:00"/>
    <x v="0"/>
    <s v="South"/>
    <s v="Mobile"/>
    <s v="Organic"/>
    <s v="Basic"/>
    <n v="1"/>
    <n v="0"/>
    <n v="0"/>
    <n v="0"/>
    <n v="0"/>
    <n v="0"/>
    <n v="0"/>
    <n v="0"/>
    <n v="62.8"/>
  </r>
  <r>
    <x v="658"/>
    <d v="2025-03-07T00:00:00"/>
    <x v="0"/>
    <s v="East"/>
    <s v="Mobile"/>
    <s v="Referral"/>
    <s v="Free"/>
    <n v="0"/>
    <n v="0"/>
    <n v="0"/>
    <n v="0"/>
    <n v="0"/>
    <n v="0"/>
    <n v="0"/>
    <n v="0"/>
    <n v="73.099999999999994"/>
  </r>
  <r>
    <x v="659"/>
    <d v="2025-04-20T00:00:00"/>
    <x v="0"/>
    <s v="South"/>
    <s v="Desktop"/>
    <s v="Social"/>
    <s v="Free"/>
    <n v="1"/>
    <n v="1"/>
    <n v="1"/>
    <n v="1"/>
    <n v="347.52"/>
    <n v="0"/>
    <n v="0"/>
    <n v="2"/>
    <n v="57.2"/>
  </r>
  <r>
    <x v="660"/>
    <d v="2025-01-07T00:00:00"/>
    <x v="0"/>
    <s v="South"/>
    <s v="Mobile"/>
    <s v="Paid Search"/>
    <s v="Free"/>
    <n v="1"/>
    <n v="0"/>
    <n v="0"/>
    <n v="0"/>
    <n v="0"/>
    <n v="0"/>
    <n v="0"/>
    <n v="0"/>
    <n v="67.900000000000006"/>
  </r>
  <r>
    <x v="661"/>
    <d v="2025-04-23T00:00:00"/>
    <x v="0"/>
    <s v="South"/>
    <s v="Mobile"/>
    <s v="Referral"/>
    <s v="Free"/>
    <n v="0"/>
    <n v="0"/>
    <n v="0"/>
    <n v="0"/>
    <n v="0"/>
    <n v="0"/>
    <n v="0"/>
    <n v="0"/>
    <n v="50.1"/>
  </r>
  <r>
    <x v="662"/>
    <d v="2025-05-26T00:00:00"/>
    <x v="0"/>
    <s v="North"/>
    <s v="Mobile"/>
    <s v="Paid Search"/>
    <s v="Basic"/>
    <n v="0"/>
    <n v="0"/>
    <n v="0"/>
    <n v="0"/>
    <n v="0"/>
    <n v="0"/>
    <n v="0"/>
    <n v="0"/>
    <n v="67.8"/>
  </r>
  <r>
    <x v="663"/>
    <d v="2025-03-17T00:00:00"/>
    <x v="0"/>
    <s v="North"/>
    <s v="Desktop"/>
    <s v="Social"/>
    <s v="Basic"/>
    <n v="1"/>
    <n v="1"/>
    <n v="1"/>
    <n v="0"/>
    <n v="0"/>
    <n v="0"/>
    <n v="0"/>
    <n v="0"/>
    <n v="60.8"/>
  </r>
  <r>
    <x v="664"/>
    <d v="2025-05-17T00:00:00"/>
    <x v="0"/>
    <s v="North"/>
    <s v="Desktop"/>
    <s v="Paid Search"/>
    <s v="Basic"/>
    <n v="1"/>
    <n v="0"/>
    <n v="0"/>
    <n v="0"/>
    <n v="0"/>
    <n v="3"/>
    <n v="0"/>
    <n v="0"/>
    <n v="33.700000000000003"/>
  </r>
  <r>
    <x v="665"/>
    <d v="2025-02-21T00:00:00"/>
    <x v="0"/>
    <s v="North"/>
    <s v="Mobile"/>
    <s v="Paid Search"/>
    <s v="Basic"/>
    <n v="0"/>
    <n v="0"/>
    <n v="0"/>
    <n v="0"/>
    <n v="0"/>
    <n v="0"/>
    <n v="0"/>
    <n v="0"/>
    <n v="45.2"/>
  </r>
  <r>
    <x v="666"/>
    <d v="2025-02-25T00:00:00"/>
    <x v="0"/>
    <s v="East"/>
    <s v="Desktop"/>
    <s v="Paid Search"/>
    <s v="Premium"/>
    <n v="0"/>
    <n v="0"/>
    <n v="0"/>
    <n v="0"/>
    <n v="0"/>
    <n v="0"/>
    <n v="0"/>
    <n v="0"/>
    <n v="48.2"/>
  </r>
  <r>
    <x v="667"/>
    <d v="2025-01-30T00:00:00"/>
    <x v="0"/>
    <s v="South"/>
    <s v="Mobile"/>
    <s v="Social"/>
    <s v="Free"/>
    <n v="1"/>
    <n v="1"/>
    <n v="0"/>
    <n v="0"/>
    <n v="0"/>
    <n v="1"/>
    <n v="0"/>
    <n v="0"/>
    <n v="44.8"/>
  </r>
  <r>
    <x v="668"/>
    <d v="2025-02-17T00:00:00"/>
    <x v="0"/>
    <s v="North"/>
    <s v="Tablet"/>
    <s v="Social"/>
    <s v="Basic"/>
    <n v="0"/>
    <n v="0"/>
    <n v="0"/>
    <n v="0"/>
    <n v="0"/>
    <n v="0"/>
    <n v="0"/>
    <n v="0"/>
    <n v="52.1"/>
  </r>
  <r>
    <x v="669"/>
    <d v="2025-05-17T00:00:00"/>
    <x v="0"/>
    <s v="North"/>
    <s v="Desktop"/>
    <s v="Paid Search"/>
    <s v="Basic"/>
    <n v="1"/>
    <n v="0"/>
    <n v="0"/>
    <n v="0"/>
    <n v="0"/>
    <n v="0"/>
    <n v="0"/>
    <n v="0"/>
    <n v="30.7"/>
  </r>
  <r>
    <x v="670"/>
    <d v="2025-04-30T00:00:00"/>
    <x v="0"/>
    <s v="East"/>
    <s v="Desktop"/>
    <s v="Paid Search"/>
    <s v="Free"/>
    <n v="1"/>
    <n v="0"/>
    <n v="0"/>
    <n v="0"/>
    <n v="0"/>
    <n v="0"/>
    <n v="0"/>
    <n v="0"/>
    <n v="58.4"/>
  </r>
  <r>
    <x v="671"/>
    <d v="2025-03-22T00:00:00"/>
    <x v="0"/>
    <s v="West"/>
    <s v="Mobile"/>
    <s v="Referral"/>
    <s v="Free"/>
    <n v="1"/>
    <n v="1"/>
    <n v="0"/>
    <n v="0"/>
    <n v="0"/>
    <n v="0"/>
    <n v="0"/>
    <n v="0"/>
    <n v="52.6"/>
  </r>
  <r>
    <x v="672"/>
    <d v="2025-01-10T00:00:00"/>
    <x v="0"/>
    <s v="West"/>
    <s v="Unknown"/>
    <s v="Paid Search"/>
    <s v="Free"/>
    <n v="1"/>
    <n v="0"/>
    <n v="0"/>
    <n v="0"/>
    <n v="0"/>
    <n v="1"/>
    <n v="0"/>
    <n v="0"/>
    <n v="19.100000000000001"/>
  </r>
  <r>
    <x v="673"/>
    <d v="2025-03-21T00:00:00"/>
    <x v="0"/>
    <s v="South"/>
    <s v="Unknown"/>
    <s v="Paid Search"/>
    <s v="Free"/>
    <n v="1"/>
    <n v="0"/>
    <n v="0"/>
    <n v="0"/>
    <n v="0"/>
    <n v="0"/>
    <n v="0"/>
    <n v="0"/>
    <n v="36.799999999999997"/>
  </r>
  <r>
    <x v="674"/>
    <d v="2025-05-12T00:00:00"/>
    <x v="0"/>
    <s v="North"/>
    <s v="Desktop"/>
    <s v="Paid Search"/>
    <s v="Basic"/>
    <n v="0"/>
    <n v="0"/>
    <n v="0"/>
    <n v="0"/>
    <n v="0"/>
    <n v="0"/>
    <n v="0"/>
    <n v="0"/>
    <n v="68.5"/>
  </r>
  <r>
    <x v="675"/>
    <d v="2025-05-24T00:00:00"/>
    <x v="0"/>
    <s v="West"/>
    <s v="Mobile"/>
    <s v="Paid Search"/>
    <s v="Free"/>
    <n v="1"/>
    <n v="1"/>
    <n v="1"/>
    <n v="0"/>
    <n v="0"/>
    <n v="0"/>
    <n v="0"/>
    <n v="0"/>
    <n v="40.1"/>
  </r>
  <r>
    <x v="676"/>
    <d v="2025-05-03T00:00:00"/>
    <x v="0"/>
    <s v="West"/>
    <s v="Tablet"/>
    <s v="Organic"/>
    <s v="Free"/>
    <n v="1"/>
    <n v="0"/>
    <n v="0"/>
    <n v="0"/>
    <n v="0"/>
    <n v="0"/>
    <n v="0"/>
    <n v="0"/>
    <n v="47.5"/>
  </r>
  <r>
    <x v="677"/>
    <d v="2025-01-14T00:00:00"/>
    <x v="0"/>
    <s v="South"/>
    <s v="Mobile"/>
    <s v="Organic"/>
    <s v="Basic"/>
    <n v="1"/>
    <n v="0"/>
    <n v="0"/>
    <n v="0"/>
    <n v="0"/>
    <n v="0"/>
    <n v="0"/>
    <n v="0"/>
    <n v="77.099999999999994"/>
  </r>
  <r>
    <x v="678"/>
    <d v="2025-03-27T00:00:00"/>
    <x v="0"/>
    <s v="West"/>
    <s v="Mobile"/>
    <s v="Social"/>
    <s v="Basic"/>
    <n v="1"/>
    <n v="0"/>
    <n v="0"/>
    <n v="0"/>
    <n v="0"/>
    <n v="0"/>
    <n v="0"/>
    <n v="0"/>
    <n v="75.900000000000006"/>
  </r>
  <r>
    <x v="679"/>
    <d v="2025-02-28T00:00:00"/>
    <x v="0"/>
    <s v="North"/>
    <s v="Desktop"/>
    <s v="Referral"/>
    <s v="Premium"/>
    <n v="0"/>
    <n v="0"/>
    <n v="0"/>
    <n v="0"/>
    <n v="0"/>
    <n v="1"/>
    <n v="0"/>
    <n v="0"/>
    <n v="52"/>
  </r>
  <r>
    <x v="680"/>
    <d v="2025-05-12T00:00:00"/>
    <x v="0"/>
    <s v="West"/>
    <s v="Desktop"/>
    <s v="Referral"/>
    <s v="Premium"/>
    <n v="1"/>
    <n v="1"/>
    <n v="1"/>
    <n v="0"/>
    <n v="0"/>
    <n v="0"/>
    <n v="0"/>
    <n v="0"/>
    <n v="64.900000000000006"/>
  </r>
  <r>
    <x v="681"/>
    <d v="2025-03-14T00:00:00"/>
    <x v="0"/>
    <s v="North"/>
    <s v="Mobile"/>
    <s v="Organic"/>
    <s v="Free"/>
    <n v="1"/>
    <n v="0"/>
    <n v="0"/>
    <n v="0"/>
    <n v="0"/>
    <n v="0"/>
    <n v="0"/>
    <n v="0"/>
    <n v="48.2"/>
  </r>
  <r>
    <x v="682"/>
    <d v="2025-05-20T00:00:00"/>
    <x v="0"/>
    <s v="East"/>
    <s v="Mobile"/>
    <s v="Organic"/>
    <s v="Basic"/>
    <n v="0"/>
    <n v="0"/>
    <n v="0"/>
    <n v="0"/>
    <n v="0"/>
    <n v="0"/>
    <n v="0"/>
    <n v="0"/>
    <n v="42.1"/>
  </r>
  <r>
    <x v="683"/>
    <d v="2025-02-24T00:00:00"/>
    <x v="0"/>
    <s v="South"/>
    <s v="Desktop"/>
    <s v="Referral"/>
    <s v="Free"/>
    <n v="0"/>
    <n v="0"/>
    <n v="0"/>
    <n v="0"/>
    <n v="0"/>
    <n v="0"/>
    <n v="0"/>
    <n v="0"/>
    <n v="27.6"/>
  </r>
  <r>
    <x v="684"/>
    <d v="2025-02-13T00:00:00"/>
    <x v="0"/>
    <s v="West"/>
    <s v="Mobile"/>
    <s v="Organic"/>
    <s v="Premium"/>
    <n v="1"/>
    <n v="0"/>
    <n v="0"/>
    <n v="0"/>
    <n v="0"/>
    <n v="1"/>
    <n v="0"/>
    <n v="0"/>
    <n v="68.5"/>
  </r>
  <r>
    <x v="685"/>
    <d v="2025-02-06T00:00:00"/>
    <x v="0"/>
    <s v="South"/>
    <s v="Desktop"/>
    <s v="Organic"/>
    <s v="Free"/>
    <n v="1"/>
    <n v="1"/>
    <n v="1"/>
    <n v="0"/>
    <n v="0"/>
    <n v="0"/>
    <n v="0"/>
    <n v="0"/>
    <n v="59.2"/>
  </r>
  <r>
    <x v="686"/>
    <d v="2025-03-02T00:00:00"/>
    <x v="0"/>
    <s v="North"/>
    <s v="Mobile"/>
    <s v="Social"/>
    <s v="Basic"/>
    <n v="1"/>
    <n v="0"/>
    <n v="0"/>
    <n v="0"/>
    <n v="0"/>
    <n v="0"/>
    <n v="0"/>
    <n v="0"/>
    <n v="63.3"/>
  </r>
  <r>
    <x v="687"/>
    <d v="2025-04-28T00:00:00"/>
    <x v="0"/>
    <s v="East"/>
    <s v="Desktop"/>
    <s v="Paid Search"/>
    <s v="Free"/>
    <n v="0"/>
    <n v="0"/>
    <n v="0"/>
    <n v="0"/>
    <n v="0"/>
    <n v="0"/>
    <n v="0"/>
    <n v="0"/>
    <n v="55"/>
  </r>
  <r>
    <x v="688"/>
    <d v="2025-05-27T00:00:00"/>
    <x v="0"/>
    <s v="North"/>
    <s v="Desktop"/>
    <s v="Unknown"/>
    <s v="Premium"/>
    <n v="1"/>
    <n v="0"/>
    <n v="0"/>
    <n v="0"/>
    <n v="0"/>
    <n v="0"/>
    <n v="0"/>
    <n v="0"/>
    <n v="64.8"/>
  </r>
  <r>
    <x v="689"/>
    <d v="2025-04-07T00:00:00"/>
    <x v="0"/>
    <s v="South"/>
    <s v="Desktop"/>
    <s v="Organic"/>
    <s v="Basic"/>
    <n v="0"/>
    <n v="0"/>
    <n v="0"/>
    <n v="0"/>
    <n v="0"/>
    <n v="2"/>
    <n v="0"/>
    <n v="0"/>
    <n v="41.8"/>
  </r>
  <r>
    <x v="690"/>
    <d v="2025-04-14T00:00:00"/>
    <x v="1"/>
    <s v="East"/>
    <s v="Desktop"/>
    <s v="Social"/>
    <s v="Basic"/>
    <n v="1"/>
    <n v="0"/>
    <n v="0"/>
    <n v="0"/>
    <n v="0"/>
    <n v="0"/>
    <n v="0"/>
    <n v="0"/>
    <n v="73.2"/>
  </r>
  <r>
    <x v="691"/>
    <d v="2025-05-09T00:00:00"/>
    <x v="1"/>
    <s v="East"/>
    <s v="Desktop"/>
    <s v="Organic"/>
    <s v="Basic"/>
    <n v="1"/>
    <n v="1"/>
    <n v="1"/>
    <n v="0"/>
    <n v="0"/>
    <n v="3"/>
    <n v="0"/>
    <n v="0"/>
    <n v="55.7"/>
  </r>
  <r>
    <x v="692"/>
    <d v="2025-03-21T00:00:00"/>
    <x v="1"/>
    <s v="North"/>
    <s v="Mobile"/>
    <s v="Organic"/>
    <s v="Free"/>
    <n v="1"/>
    <n v="1"/>
    <n v="1"/>
    <n v="0"/>
    <n v="0"/>
    <n v="0"/>
    <n v="0"/>
    <n v="0"/>
    <n v="82.8"/>
  </r>
  <r>
    <x v="693"/>
    <d v="2025-03-27T00:00:00"/>
    <x v="1"/>
    <s v="North"/>
    <s v="Desktop"/>
    <s v="Social"/>
    <s v="Free"/>
    <n v="1"/>
    <n v="0"/>
    <n v="0"/>
    <n v="0"/>
    <n v="0"/>
    <n v="0"/>
    <n v="0"/>
    <n v="0"/>
    <n v="0"/>
  </r>
  <r>
    <x v="694"/>
    <d v="2025-01-21T00:00:00"/>
    <x v="1"/>
    <s v="South"/>
    <s v="Mobile"/>
    <s v="Paid Search"/>
    <s v="Free"/>
    <n v="0"/>
    <n v="0"/>
    <n v="0"/>
    <n v="0"/>
    <n v="0"/>
    <n v="0"/>
    <n v="0"/>
    <n v="0"/>
    <n v="34.4"/>
  </r>
  <r>
    <x v="695"/>
    <d v="2025-03-19T00:00:00"/>
    <x v="1"/>
    <s v="East"/>
    <s v="Desktop"/>
    <s v="Email"/>
    <s v="Free"/>
    <n v="1"/>
    <n v="0"/>
    <n v="0"/>
    <n v="0"/>
    <n v="0"/>
    <n v="0"/>
    <n v="0"/>
    <n v="0"/>
    <n v="45.2"/>
  </r>
  <r>
    <x v="696"/>
    <d v="2025-05-27T00:00:00"/>
    <x v="1"/>
    <s v="North"/>
    <s v="Mobile"/>
    <s v="Organic"/>
    <s v="Basic"/>
    <n v="1"/>
    <n v="0"/>
    <n v="0"/>
    <n v="0"/>
    <n v="0"/>
    <n v="0"/>
    <n v="0"/>
    <n v="0"/>
    <n v="71.599999999999994"/>
  </r>
  <r>
    <x v="697"/>
    <d v="2025-01-01T00:00:00"/>
    <x v="1"/>
    <s v="North"/>
    <s v="Mobile"/>
    <s v="Social"/>
    <s v="Free"/>
    <n v="1"/>
    <n v="1"/>
    <n v="1"/>
    <n v="0"/>
    <n v="0"/>
    <n v="0"/>
    <n v="0"/>
    <n v="0"/>
    <n v="69.099999999999994"/>
  </r>
  <r>
    <x v="698"/>
    <d v="2025-03-29T00:00:00"/>
    <x v="1"/>
    <s v="West"/>
    <s v="Desktop"/>
    <s v="Paid Search"/>
    <s v="Premium"/>
    <n v="1"/>
    <n v="0"/>
    <n v="0"/>
    <n v="0"/>
    <n v="0"/>
    <n v="1"/>
    <n v="0"/>
    <n v="0"/>
    <n v="37.700000000000003"/>
  </r>
  <r>
    <x v="699"/>
    <d v="2025-03-17T00:00:00"/>
    <x v="1"/>
    <s v="West"/>
    <s v="Desktop"/>
    <s v="Organic"/>
    <s v="Basic"/>
    <n v="1"/>
    <n v="0"/>
    <n v="0"/>
    <n v="0"/>
    <n v="0"/>
    <n v="1"/>
    <n v="0"/>
    <n v="0"/>
    <n v="60.8"/>
  </r>
  <r>
    <x v="700"/>
    <d v="2025-05-05T00:00:00"/>
    <x v="1"/>
    <s v="North"/>
    <s v="Mobile"/>
    <s v="Organic"/>
    <s v="Free"/>
    <n v="1"/>
    <n v="1"/>
    <n v="1"/>
    <n v="1"/>
    <n v="444.13"/>
    <n v="0"/>
    <n v="0"/>
    <n v="10"/>
    <n v="80.7"/>
  </r>
  <r>
    <x v="701"/>
    <d v="2025-05-04T00:00:00"/>
    <x v="1"/>
    <s v="South"/>
    <s v="Mobile"/>
    <s v="Social"/>
    <s v="Free"/>
    <n v="1"/>
    <n v="0"/>
    <n v="0"/>
    <n v="0"/>
    <n v="0"/>
    <n v="0"/>
    <n v="0"/>
    <n v="0"/>
    <n v="69.2"/>
  </r>
  <r>
    <x v="702"/>
    <d v="2025-03-25T00:00:00"/>
    <x v="1"/>
    <s v="North"/>
    <s v="Mobile"/>
    <s v="Social"/>
    <s v="Premium"/>
    <n v="0"/>
    <n v="0"/>
    <n v="0"/>
    <n v="0"/>
    <n v="0"/>
    <n v="3"/>
    <n v="0"/>
    <n v="0"/>
    <n v="55"/>
  </r>
  <r>
    <x v="703"/>
    <d v="2025-04-17T00:00:00"/>
    <x v="1"/>
    <s v="West"/>
    <s v="Mobile"/>
    <s v="Email"/>
    <s v="Free"/>
    <n v="0"/>
    <n v="0"/>
    <n v="0"/>
    <n v="0"/>
    <n v="0"/>
    <n v="1"/>
    <n v="0"/>
    <n v="0"/>
    <n v="73.599999999999994"/>
  </r>
  <r>
    <x v="704"/>
    <d v="2025-05-23T00:00:00"/>
    <x v="1"/>
    <s v="South"/>
    <s v="Mobile"/>
    <s v="Referral"/>
    <s v="Basic"/>
    <n v="1"/>
    <n v="1"/>
    <n v="1"/>
    <n v="0"/>
    <n v="0"/>
    <n v="1"/>
    <n v="0"/>
    <n v="0"/>
    <n v="47.3"/>
  </r>
  <r>
    <x v="705"/>
    <d v="2025-01-13T00:00:00"/>
    <x v="1"/>
    <s v="North"/>
    <s v="Mobile"/>
    <s v="Organic"/>
    <s v="Basic"/>
    <n v="0"/>
    <n v="0"/>
    <n v="0"/>
    <n v="0"/>
    <n v="0"/>
    <n v="0"/>
    <n v="0"/>
    <n v="0"/>
    <n v="43.6"/>
  </r>
  <r>
    <x v="706"/>
    <d v="2025-01-29T00:00:00"/>
    <x v="1"/>
    <s v="North"/>
    <s v="Desktop"/>
    <s v="Organic"/>
    <s v="Basic"/>
    <n v="1"/>
    <n v="0"/>
    <n v="0"/>
    <n v="0"/>
    <n v="0"/>
    <n v="0"/>
    <n v="0"/>
    <n v="0"/>
    <n v="0"/>
  </r>
  <r>
    <x v="707"/>
    <d v="2025-05-11T00:00:00"/>
    <x v="1"/>
    <s v="South"/>
    <s v="Mobile"/>
    <s v="Email"/>
    <s v="Free"/>
    <n v="0"/>
    <n v="0"/>
    <n v="0"/>
    <n v="0"/>
    <n v="0"/>
    <n v="0"/>
    <n v="0"/>
    <n v="0"/>
    <n v="55.2"/>
  </r>
  <r>
    <x v="708"/>
    <d v="2025-04-22T00:00:00"/>
    <x v="1"/>
    <s v="South"/>
    <s v="Mobile"/>
    <s v="Organic"/>
    <s v="Basic"/>
    <n v="1"/>
    <n v="0"/>
    <n v="0"/>
    <n v="0"/>
    <n v="0"/>
    <n v="0"/>
    <n v="0"/>
    <n v="0"/>
    <n v="49.4"/>
  </r>
  <r>
    <x v="709"/>
    <d v="2025-03-03T00:00:00"/>
    <x v="1"/>
    <s v="South"/>
    <s v="Mobile"/>
    <s v="Social"/>
    <s v="Free"/>
    <n v="1"/>
    <n v="1"/>
    <n v="1"/>
    <n v="0"/>
    <n v="0"/>
    <n v="1"/>
    <n v="0"/>
    <n v="0"/>
    <n v="60.1"/>
  </r>
  <r>
    <x v="710"/>
    <d v="2025-03-18T00:00:00"/>
    <x v="1"/>
    <s v="North"/>
    <s v="Mobile"/>
    <s v="Referral"/>
    <s v="Free"/>
    <n v="1"/>
    <n v="0"/>
    <n v="0"/>
    <n v="0"/>
    <n v="0"/>
    <n v="0"/>
    <n v="0"/>
    <n v="0"/>
    <n v="55.9"/>
  </r>
  <r>
    <x v="711"/>
    <d v="2025-04-05T00:00:00"/>
    <x v="1"/>
    <s v="North"/>
    <s v="Mobile"/>
    <s v="Organic"/>
    <s v="Basic"/>
    <n v="1"/>
    <n v="0"/>
    <n v="0"/>
    <n v="0"/>
    <n v="0"/>
    <n v="0"/>
    <n v="0"/>
    <n v="0"/>
    <n v="51.5"/>
  </r>
  <r>
    <x v="712"/>
    <d v="2025-04-16T00:00:00"/>
    <x v="1"/>
    <s v="East"/>
    <s v="Mobile"/>
    <s v="Organic"/>
    <s v="Free"/>
    <n v="1"/>
    <n v="1"/>
    <n v="1"/>
    <n v="1"/>
    <n v="516.66999999999996"/>
    <n v="0"/>
    <n v="0"/>
    <n v="11"/>
    <n v="57.9"/>
  </r>
  <r>
    <x v="713"/>
    <d v="2025-04-20T00:00:00"/>
    <x v="1"/>
    <s v="South"/>
    <s v="Mobile"/>
    <s v="Referral"/>
    <s v="Free"/>
    <n v="1"/>
    <n v="1"/>
    <n v="1"/>
    <n v="1"/>
    <n v="277.18"/>
    <n v="2"/>
    <n v="0"/>
    <n v="8"/>
    <n v="59.2"/>
  </r>
  <r>
    <x v="714"/>
    <d v="2025-02-15T00:00:00"/>
    <x v="1"/>
    <s v="South"/>
    <s v="Mobile"/>
    <s v="Organic"/>
    <s v="Free"/>
    <n v="0"/>
    <n v="0"/>
    <n v="0"/>
    <n v="0"/>
    <n v="0"/>
    <n v="0"/>
    <n v="0"/>
    <n v="0"/>
    <n v="64.2"/>
  </r>
  <r>
    <x v="715"/>
    <d v="2025-01-21T00:00:00"/>
    <x v="1"/>
    <s v="South"/>
    <s v="Mobile"/>
    <s v="Organic"/>
    <s v="Free"/>
    <n v="1"/>
    <n v="0"/>
    <n v="0"/>
    <n v="0"/>
    <n v="0"/>
    <n v="0"/>
    <n v="0"/>
    <n v="0"/>
    <n v="68.8"/>
  </r>
  <r>
    <x v="716"/>
    <d v="2025-05-23T00:00:00"/>
    <x v="1"/>
    <s v="North"/>
    <s v="Mobile"/>
    <s v="Paid Search"/>
    <s v="Premium"/>
    <n v="1"/>
    <n v="1"/>
    <n v="1"/>
    <n v="0"/>
    <n v="0"/>
    <n v="0"/>
    <n v="0"/>
    <n v="0"/>
    <n v="77.900000000000006"/>
  </r>
  <r>
    <x v="717"/>
    <d v="2025-01-22T00:00:00"/>
    <x v="1"/>
    <s v="West"/>
    <s v="Mobile"/>
    <s v="Paid Search"/>
    <s v="Basic"/>
    <n v="0"/>
    <n v="0"/>
    <n v="0"/>
    <n v="0"/>
    <n v="0"/>
    <n v="0"/>
    <n v="0"/>
    <n v="0"/>
    <n v="92.1"/>
  </r>
  <r>
    <x v="718"/>
    <d v="2025-04-24T00:00:00"/>
    <x v="1"/>
    <s v="West"/>
    <s v="Mobile"/>
    <s v="Paid Search"/>
    <s v="Premium"/>
    <n v="0"/>
    <n v="0"/>
    <n v="0"/>
    <n v="0"/>
    <n v="0"/>
    <n v="0"/>
    <n v="0"/>
    <n v="0"/>
    <n v="63.6"/>
  </r>
  <r>
    <x v="719"/>
    <d v="2025-01-17T00:00:00"/>
    <x v="1"/>
    <s v="West"/>
    <s v="Desktop"/>
    <s v="Email"/>
    <s v="Free"/>
    <n v="0"/>
    <n v="0"/>
    <n v="0"/>
    <n v="0"/>
    <n v="0"/>
    <n v="2"/>
    <n v="0"/>
    <n v="0"/>
    <n v="61.6"/>
  </r>
  <r>
    <x v="720"/>
    <d v="2025-01-22T00:00:00"/>
    <x v="1"/>
    <s v="East"/>
    <s v="Mobile"/>
    <s v="Referral"/>
    <s v="Basic"/>
    <n v="1"/>
    <n v="1"/>
    <n v="0"/>
    <n v="0"/>
    <n v="0"/>
    <n v="0"/>
    <n v="0"/>
    <n v="0"/>
    <n v="82.3"/>
  </r>
  <r>
    <x v="721"/>
    <d v="2025-05-04T00:00:00"/>
    <x v="1"/>
    <s v="East"/>
    <s v="Desktop"/>
    <s v="Paid Search"/>
    <s v="Free"/>
    <n v="1"/>
    <n v="0"/>
    <n v="0"/>
    <n v="0"/>
    <n v="0"/>
    <n v="0"/>
    <n v="0"/>
    <n v="0"/>
    <n v="79.3"/>
  </r>
  <r>
    <x v="722"/>
    <d v="2025-03-13T00:00:00"/>
    <x v="1"/>
    <s v="South"/>
    <s v="Mobile"/>
    <s v="Unknown"/>
    <s v="Free"/>
    <n v="0"/>
    <n v="0"/>
    <n v="0"/>
    <n v="0"/>
    <n v="0"/>
    <n v="0"/>
    <n v="0"/>
    <n v="0"/>
    <n v="57.7"/>
  </r>
  <r>
    <x v="723"/>
    <d v="2025-01-02T00:00:00"/>
    <x v="1"/>
    <s v="North"/>
    <s v="Mobile"/>
    <s v="Organic"/>
    <s v="Basic"/>
    <n v="1"/>
    <n v="0"/>
    <n v="0"/>
    <n v="0"/>
    <n v="0"/>
    <n v="0"/>
    <n v="0"/>
    <n v="0"/>
    <n v="63.1"/>
  </r>
  <r>
    <x v="724"/>
    <d v="2025-01-13T00:00:00"/>
    <x v="1"/>
    <s v="East"/>
    <s v="Mobile"/>
    <s v="Paid Search"/>
    <s v="Basic"/>
    <n v="0"/>
    <n v="0"/>
    <n v="0"/>
    <n v="0"/>
    <n v="0"/>
    <n v="0"/>
    <n v="0"/>
    <n v="0"/>
    <n v="72.3"/>
  </r>
  <r>
    <x v="725"/>
    <d v="2025-02-09T00:00:00"/>
    <x v="1"/>
    <s v="East"/>
    <s v="Mobile"/>
    <s v="Social"/>
    <s v="Free"/>
    <n v="1"/>
    <n v="1"/>
    <n v="1"/>
    <n v="0"/>
    <n v="0"/>
    <n v="0"/>
    <n v="0"/>
    <n v="0"/>
    <n v="78"/>
  </r>
  <r>
    <x v="726"/>
    <d v="2025-04-09T00:00:00"/>
    <x v="1"/>
    <s v="East"/>
    <s v="Desktop"/>
    <s v="Social"/>
    <s v="Free"/>
    <n v="1"/>
    <n v="1"/>
    <n v="0"/>
    <n v="0"/>
    <n v="0"/>
    <n v="2"/>
    <n v="0"/>
    <n v="0"/>
    <n v="59.1"/>
  </r>
  <r>
    <x v="727"/>
    <d v="2025-01-02T00:00:00"/>
    <x v="1"/>
    <s v="South"/>
    <s v="Mobile"/>
    <s v="Paid Search"/>
    <s v="Free"/>
    <n v="1"/>
    <n v="1"/>
    <n v="1"/>
    <n v="1"/>
    <n v="604.09"/>
    <n v="0"/>
    <n v="0"/>
    <n v="7"/>
    <n v="47.1"/>
  </r>
  <r>
    <x v="728"/>
    <d v="2025-02-04T00:00:00"/>
    <x v="1"/>
    <s v="South"/>
    <s v="Mobile"/>
    <s v="Unknown"/>
    <s v="Premium"/>
    <n v="1"/>
    <n v="0"/>
    <n v="0"/>
    <n v="0"/>
    <n v="0"/>
    <n v="0"/>
    <n v="0"/>
    <n v="0"/>
    <n v="64.900000000000006"/>
  </r>
  <r>
    <x v="729"/>
    <d v="2025-02-19T00:00:00"/>
    <x v="1"/>
    <s v="South"/>
    <s v="Tablet"/>
    <s v="Paid Search"/>
    <s v="Free"/>
    <n v="0"/>
    <n v="0"/>
    <n v="0"/>
    <n v="0"/>
    <n v="0"/>
    <n v="0"/>
    <n v="0"/>
    <n v="0"/>
    <n v="67.3"/>
  </r>
  <r>
    <x v="730"/>
    <d v="2025-04-01T00:00:00"/>
    <x v="1"/>
    <s v="East"/>
    <s v="Mobile"/>
    <s v="Paid Search"/>
    <s v="Basic"/>
    <n v="1"/>
    <n v="0"/>
    <n v="0"/>
    <n v="0"/>
    <n v="0"/>
    <n v="2"/>
    <n v="0"/>
    <n v="0"/>
    <n v="52.9"/>
  </r>
  <r>
    <x v="731"/>
    <d v="2025-01-29T00:00:00"/>
    <x v="1"/>
    <s v="North"/>
    <s v="Mobile"/>
    <s v="Referral"/>
    <s v="Free"/>
    <n v="1"/>
    <n v="1"/>
    <n v="1"/>
    <n v="1"/>
    <n v="442.37"/>
    <n v="1"/>
    <n v="0"/>
    <n v="4"/>
    <n v="69.900000000000006"/>
  </r>
  <r>
    <x v="732"/>
    <d v="2025-05-18T00:00:00"/>
    <x v="1"/>
    <s v="North"/>
    <s v="Mobile"/>
    <s v="Referral"/>
    <s v="Basic"/>
    <n v="1"/>
    <n v="1"/>
    <n v="1"/>
    <n v="0"/>
    <n v="0"/>
    <n v="0"/>
    <n v="0"/>
    <n v="0"/>
    <n v="78.900000000000006"/>
  </r>
  <r>
    <x v="733"/>
    <d v="2025-04-15T00:00:00"/>
    <x v="1"/>
    <s v="East"/>
    <s v="Desktop"/>
    <s v="Social"/>
    <s v="Premium"/>
    <n v="1"/>
    <n v="1"/>
    <n v="0"/>
    <n v="0"/>
    <n v="0"/>
    <n v="0"/>
    <n v="0"/>
    <n v="0"/>
    <n v="83.3"/>
  </r>
  <r>
    <x v="734"/>
    <d v="2025-03-28T00:00:00"/>
    <x v="1"/>
    <s v="East"/>
    <s v="Desktop"/>
    <s v="Email"/>
    <s v="Free"/>
    <n v="1"/>
    <n v="0"/>
    <n v="0"/>
    <n v="0"/>
    <n v="0"/>
    <n v="1"/>
    <n v="0"/>
    <n v="0"/>
    <n v="24.5"/>
  </r>
  <r>
    <x v="735"/>
    <d v="2025-04-01T00:00:00"/>
    <x v="1"/>
    <s v="West"/>
    <s v="Mobile"/>
    <s v="Paid Search"/>
    <s v="Basic"/>
    <n v="1"/>
    <n v="1"/>
    <n v="0"/>
    <n v="0"/>
    <n v="0"/>
    <n v="1"/>
    <n v="0"/>
    <n v="0"/>
    <n v="56.9"/>
  </r>
  <r>
    <x v="736"/>
    <d v="2025-02-11T00:00:00"/>
    <x v="1"/>
    <s v="West"/>
    <s v="Mobile"/>
    <s v="Social"/>
    <s v="Basic"/>
    <n v="1"/>
    <n v="0"/>
    <n v="0"/>
    <n v="0"/>
    <n v="0"/>
    <n v="0"/>
    <n v="0"/>
    <n v="0"/>
    <n v="69.900000000000006"/>
  </r>
  <r>
    <x v="737"/>
    <d v="2025-03-04T00:00:00"/>
    <x v="1"/>
    <s v="South"/>
    <s v="Mobile"/>
    <s v="Organic"/>
    <s v="Free"/>
    <n v="1"/>
    <n v="1"/>
    <n v="1"/>
    <n v="0"/>
    <n v="0"/>
    <n v="0"/>
    <n v="0"/>
    <n v="0"/>
    <n v="81.5"/>
  </r>
  <r>
    <x v="738"/>
    <d v="2025-01-21T00:00:00"/>
    <x v="1"/>
    <s v="North"/>
    <s v="Tablet"/>
    <s v="Social"/>
    <s v="Basic"/>
    <n v="0"/>
    <n v="0"/>
    <n v="0"/>
    <n v="0"/>
    <n v="0"/>
    <n v="2"/>
    <n v="0"/>
    <n v="0"/>
    <n v="37.9"/>
  </r>
  <r>
    <x v="739"/>
    <d v="2025-02-14T00:00:00"/>
    <x v="1"/>
    <s v="North"/>
    <s v="Mobile"/>
    <s v="Referral"/>
    <s v="Free"/>
    <n v="0"/>
    <n v="0"/>
    <n v="0"/>
    <n v="0"/>
    <n v="0"/>
    <n v="1"/>
    <n v="0"/>
    <n v="0"/>
    <n v="61.7"/>
  </r>
  <r>
    <x v="740"/>
    <d v="2025-03-30T00:00:00"/>
    <x v="1"/>
    <s v="North"/>
    <s v="Desktop"/>
    <s v="Unknown"/>
    <s v="Premium"/>
    <n v="1"/>
    <n v="0"/>
    <n v="0"/>
    <n v="0"/>
    <n v="0"/>
    <n v="2"/>
    <n v="0"/>
    <n v="0"/>
    <n v="53.2"/>
  </r>
  <r>
    <x v="741"/>
    <d v="2025-01-08T00:00:00"/>
    <x v="1"/>
    <s v="North"/>
    <s v="Mobile"/>
    <s v="Referral"/>
    <s v="Free"/>
    <n v="0"/>
    <n v="0"/>
    <n v="0"/>
    <n v="0"/>
    <n v="0"/>
    <n v="0"/>
    <n v="0"/>
    <n v="0"/>
    <n v="61.9"/>
  </r>
  <r>
    <x v="742"/>
    <d v="2025-02-07T00:00:00"/>
    <x v="1"/>
    <s v="North"/>
    <s v="Mobile"/>
    <s v="Social"/>
    <s v="Free"/>
    <n v="1"/>
    <n v="1"/>
    <n v="1"/>
    <n v="0"/>
    <n v="0"/>
    <n v="0"/>
    <n v="0"/>
    <n v="0"/>
    <n v="68.900000000000006"/>
  </r>
  <r>
    <x v="743"/>
    <d v="2025-02-01T00:00:00"/>
    <x v="1"/>
    <s v="North"/>
    <s v="Tablet"/>
    <s v="Paid Search"/>
    <s v="Basic"/>
    <n v="0"/>
    <n v="0"/>
    <n v="0"/>
    <n v="0"/>
    <n v="0"/>
    <n v="0"/>
    <n v="0"/>
    <n v="0"/>
    <n v="66.3"/>
  </r>
  <r>
    <x v="744"/>
    <d v="2025-01-04T00:00:00"/>
    <x v="1"/>
    <s v="East"/>
    <s v="Mobile"/>
    <s v="Email"/>
    <s v="Free"/>
    <n v="1"/>
    <n v="1"/>
    <n v="1"/>
    <n v="0"/>
    <n v="0"/>
    <n v="0"/>
    <n v="0"/>
    <n v="0"/>
    <n v="54.6"/>
  </r>
  <r>
    <x v="745"/>
    <d v="2025-05-16T00:00:00"/>
    <x v="1"/>
    <s v="South"/>
    <s v="Desktop"/>
    <s v="Referral"/>
    <s v="Free"/>
    <n v="0"/>
    <n v="0"/>
    <n v="0"/>
    <n v="0"/>
    <n v="0"/>
    <n v="0"/>
    <n v="0"/>
    <n v="0"/>
    <n v="53.8"/>
  </r>
  <r>
    <x v="746"/>
    <d v="2025-02-28T00:00:00"/>
    <x v="1"/>
    <s v="West"/>
    <s v="Mobile"/>
    <s v="Referral"/>
    <s v="Free"/>
    <n v="1"/>
    <n v="0"/>
    <n v="0"/>
    <n v="0"/>
    <n v="0"/>
    <n v="0"/>
    <n v="0"/>
    <n v="0"/>
    <n v="59.5"/>
  </r>
  <r>
    <x v="747"/>
    <d v="2025-04-12T00:00:00"/>
    <x v="1"/>
    <s v="North"/>
    <s v="Mobile"/>
    <s v="Referral"/>
    <s v="Free"/>
    <n v="1"/>
    <n v="0"/>
    <n v="0"/>
    <n v="0"/>
    <n v="0"/>
    <n v="0"/>
    <n v="0"/>
    <n v="0"/>
    <n v="52.6"/>
  </r>
  <r>
    <x v="748"/>
    <d v="2025-03-23T00:00:00"/>
    <x v="1"/>
    <s v="South"/>
    <s v="Desktop"/>
    <s v="Organic"/>
    <s v="Free"/>
    <n v="0"/>
    <n v="0"/>
    <n v="0"/>
    <n v="0"/>
    <n v="0"/>
    <n v="0"/>
    <n v="0"/>
    <n v="0"/>
    <n v="49"/>
  </r>
  <r>
    <x v="749"/>
    <d v="2025-05-29T00:00:00"/>
    <x v="1"/>
    <s v="North"/>
    <s v="Tablet"/>
    <s v="Organic"/>
    <s v="Free"/>
    <n v="1"/>
    <n v="0"/>
    <n v="0"/>
    <n v="0"/>
    <n v="0"/>
    <n v="0"/>
    <n v="0"/>
    <n v="0"/>
    <n v="59.3"/>
  </r>
  <r>
    <x v="750"/>
    <d v="2025-05-21T00:00:00"/>
    <x v="1"/>
    <s v="South"/>
    <s v="Desktop"/>
    <s v="Organic"/>
    <s v="Basic"/>
    <n v="0"/>
    <n v="0"/>
    <n v="0"/>
    <n v="0"/>
    <n v="0"/>
    <n v="0"/>
    <n v="0"/>
    <n v="0"/>
    <n v="67.2"/>
  </r>
  <r>
    <x v="751"/>
    <d v="2025-01-05T00:00:00"/>
    <x v="1"/>
    <s v="South"/>
    <s v="Mobile"/>
    <s v="Referral"/>
    <s v="Premium"/>
    <n v="0"/>
    <n v="0"/>
    <n v="0"/>
    <n v="0"/>
    <n v="0"/>
    <n v="0"/>
    <n v="0"/>
    <n v="0"/>
    <n v="73.5"/>
  </r>
  <r>
    <x v="752"/>
    <d v="2025-03-19T00:00:00"/>
    <x v="1"/>
    <s v="East"/>
    <s v="Tablet"/>
    <s v="Organic"/>
    <s v="Free"/>
    <n v="1"/>
    <n v="0"/>
    <n v="0"/>
    <n v="0"/>
    <n v="0"/>
    <n v="0"/>
    <n v="0"/>
    <n v="0"/>
    <n v="61.2"/>
  </r>
  <r>
    <x v="753"/>
    <d v="2025-04-24T00:00:00"/>
    <x v="1"/>
    <s v="East"/>
    <s v="Mobile"/>
    <s v="Organic"/>
    <s v="Free"/>
    <n v="1"/>
    <n v="0"/>
    <n v="0"/>
    <n v="0"/>
    <n v="0"/>
    <n v="1"/>
    <n v="0"/>
    <n v="0"/>
    <n v="56.4"/>
  </r>
  <r>
    <x v="754"/>
    <d v="2025-03-10T00:00:00"/>
    <x v="1"/>
    <s v="North"/>
    <s v="Tablet"/>
    <s v="Organic"/>
    <s v="Free"/>
    <n v="0"/>
    <n v="0"/>
    <n v="0"/>
    <n v="0"/>
    <n v="0"/>
    <n v="3"/>
    <n v="0"/>
    <n v="0"/>
    <n v="72.599999999999994"/>
  </r>
  <r>
    <x v="755"/>
    <d v="2025-02-22T00:00:00"/>
    <x v="1"/>
    <s v="South"/>
    <s v="Tablet"/>
    <s v="Referral"/>
    <s v="Basic"/>
    <n v="1"/>
    <n v="0"/>
    <n v="0"/>
    <n v="0"/>
    <n v="0"/>
    <n v="0"/>
    <n v="0"/>
    <n v="0"/>
    <n v="61.7"/>
  </r>
  <r>
    <x v="756"/>
    <d v="2025-05-17T00:00:00"/>
    <x v="1"/>
    <s v="East"/>
    <s v="Mobile"/>
    <s v="Social"/>
    <s v="Free"/>
    <n v="0"/>
    <n v="0"/>
    <n v="0"/>
    <n v="0"/>
    <n v="0"/>
    <n v="1"/>
    <n v="0"/>
    <n v="0"/>
    <n v="66.900000000000006"/>
  </r>
  <r>
    <x v="757"/>
    <d v="2025-05-09T00:00:00"/>
    <x v="1"/>
    <s v="East"/>
    <s v="Tablet"/>
    <s v="Referral"/>
    <s v="Premium"/>
    <n v="1"/>
    <n v="1"/>
    <n v="1"/>
    <n v="1"/>
    <n v="1506.24"/>
    <n v="1"/>
    <n v="0"/>
    <n v="7"/>
    <n v="64.900000000000006"/>
  </r>
  <r>
    <x v="758"/>
    <d v="2025-04-26T00:00:00"/>
    <x v="1"/>
    <s v="East"/>
    <s v="Tablet"/>
    <s v="Organic"/>
    <s v="Premium"/>
    <n v="1"/>
    <n v="0"/>
    <n v="0"/>
    <n v="0"/>
    <n v="0"/>
    <n v="0"/>
    <n v="0"/>
    <n v="0"/>
    <n v="57.5"/>
  </r>
  <r>
    <x v="759"/>
    <d v="2025-03-15T00:00:00"/>
    <x v="1"/>
    <s v="West"/>
    <s v="Desktop"/>
    <s v="Social"/>
    <s v="Free"/>
    <n v="1"/>
    <n v="1"/>
    <n v="1"/>
    <n v="0"/>
    <n v="0"/>
    <n v="0"/>
    <n v="0"/>
    <n v="0"/>
    <n v="76.3"/>
  </r>
  <r>
    <x v="760"/>
    <d v="2025-04-03T00:00:00"/>
    <x v="1"/>
    <s v="North"/>
    <s v="Mobile"/>
    <s v="Paid Search"/>
    <s v="Free"/>
    <n v="0"/>
    <n v="0"/>
    <n v="0"/>
    <n v="0"/>
    <n v="0"/>
    <n v="0"/>
    <n v="0"/>
    <n v="0"/>
    <n v="47.5"/>
  </r>
  <r>
    <x v="761"/>
    <d v="2025-03-26T00:00:00"/>
    <x v="1"/>
    <s v="South"/>
    <s v="Mobile"/>
    <s v="Paid Search"/>
    <s v="Free"/>
    <n v="0"/>
    <n v="0"/>
    <n v="0"/>
    <n v="0"/>
    <n v="0"/>
    <n v="0"/>
    <n v="0"/>
    <n v="0"/>
    <n v="0"/>
  </r>
  <r>
    <x v="762"/>
    <d v="2025-02-05T00:00:00"/>
    <x v="1"/>
    <s v="West"/>
    <s v="Desktop"/>
    <s v="Organic"/>
    <s v="Basic"/>
    <n v="1"/>
    <n v="1"/>
    <n v="0"/>
    <n v="0"/>
    <n v="0"/>
    <n v="2"/>
    <n v="0"/>
    <n v="0"/>
    <n v="71.599999999999994"/>
  </r>
  <r>
    <x v="763"/>
    <d v="2025-05-08T00:00:00"/>
    <x v="1"/>
    <s v="South"/>
    <s v="Mobile"/>
    <s v="Social"/>
    <s v="Basic"/>
    <n v="1"/>
    <n v="1"/>
    <n v="0"/>
    <n v="0"/>
    <n v="0"/>
    <n v="0"/>
    <n v="0"/>
    <n v="0"/>
    <n v="55.8"/>
  </r>
  <r>
    <x v="764"/>
    <d v="2025-03-25T00:00:00"/>
    <x v="1"/>
    <s v="South"/>
    <s v="Desktop"/>
    <s v="Organic"/>
    <s v="Basic"/>
    <n v="0"/>
    <n v="0"/>
    <n v="0"/>
    <n v="0"/>
    <n v="0"/>
    <n v="1"/>
    <n v="0"/>
    <n v="0"/>
    <n v="60.1"/>
  </r>
  <r>
    <x v="765"/>
    <d v="2025-01-14T00:00:00"/>
    <x v="1"/>
    <s v="West"/>
    <s v="Unknown"/>
    <s v="Email"/>
    <s v="Basic"/>
    <n v="1"/>
    <n v="1"/>
    <n v="1"/>
    <n v="0"/>
    <n v="0"/>
    <n v="1"/>
    <n v="0"/>
    <n v="0"/>
    <n v="59.3"/>
  </r>
  <r>
    <x v="766"/>
    <d v="2025-03-26T00:00:00"/>
    <x v="1"/>
    <s v="North"/>
    <s v="Mobile"/>
    <s v="Organic"/>
    <s v="Free"/>
    <n v="1"/>
    <n v="1"/>
    <n v="0"/>
    <n v="0"/>
    <n v="0"/>
    <n v="2"/>
    <n v="0"/>
    <n v="0"/>
    <n v="49.3"/>
  </r>
  <r>
    <x v="767"/>
    <d v="2025-01-16T00:00:00"/>
    <x v="1"/>
    <s v="East"/>
    <s v="Mobile"/>
    <s v="Referral"/>
    <s v="Free"/>
    <n v="1"/>
    <n v="0"/>
    <n v="0"/>
    <n v="0"/>
    <n v="0"/>
    <n v="0"/>
    <n v="0"/>
    <n v="0"/>
    <n v="75"/>
  </r>
  <r>
    <x v="768"/>
    <d v="2025-01-04T00:00:00"/>
    <x v="1"/>
    <s v="East"/>
    <s v="Mobile"/>
    <s v="Social"/>
    <s v="Free"/>
    <n v="1"/>
    <n v="0"/>
    <n v="0"/>
    <n v="0"/>
    <n v="0"/>
    <n v="0"/>
    <n v="0"/>
    <n v="0"/>
    <n v="70.2"/>
  </r>
  <r>
    <x v="769"/>
    <d v="2025-02-09T00:00:00"/>
    <x v="1"/>
    <s v="South"/>
    <s v="Desktop"/>
    <s v="Organic"/>
    <s v="Premium"/>
    <n v="1"/>
    <n v="1"/>
    <n v="1"/>
    <n v="0"/>
    <n v="0"/>
    <n v="0"/>
    <n v="0"/>
    <n v="0"/>
    <n v="56.6"/>
  </r>
  <r>
    <x v="770"/>
    <d v="2025-03-05T00:00:00"/>
    <x v="1"/>
    <s v="East"/>
    <s v="Desktop"/>
    <s v="Organic"/>
    <s v="Free"/>
    <n v="1"/>
    <n v="0"/>
    <n v="0"/>
    <n v="0"/>
    <n v="0"/>
    <n v="0"/>
    <n v="0"/>
    <n v="0"/>
    <n v="65.400000000000006"/>
  </r>
  <r>
    <x v="771"/>
    <d v="2025-03-10T00:00:00"/>
    <x v="1"/>
    <s v="East"/>
    <s v="Mobile"/>
    <s v="Referral"/>
    <s v="Basic"/>
    <n v="1"/>
    <n v="0"/>
    <n v="0"/>
    <n v="0"/>
    <n v="0"/>
    <n v="0"/>
    <n v="0"/>
    <n v="0"/>
    <n v="47.6"/>
  </r>
  <r>
    <x v="772"/>
    <d v="2025-02-27T00:00:00"/>
    <x v="1"/>
    <s v="East"/>
    <s v="Desktop"/>
    <s v="Paid Search"/>
    <s v="Free"/>
    <n v="1"/>
    <n v="0"/>
    <n v="0"/>
    <n v="0"/>
    <n v="0"/>
    <n v="0"/>
    <n v="0"/>
    <n v="0"/>
    <n v="56.7"/>
  </r>
  <r>
    <x v="773"/>
    <d v="2025-03-10T00:00:00"/>
    <x v="1"/>
    <s v="North"/>
    <s v="Desktop"/>
    <s v="Referral"/>
    <s v="Basic"/>
    <n v="1"/>
    <n v="1"/>
    <n v="0"/>
    <n v="0"/>
    <n v="0"/>
    <n v="0"/>
    <n v="0"/>
    <n v="0"/>
    <n v="71.400000000000006"/>
  </r>
  <r>
    <x v="774"/>
    <d v="2025-04-23T00:00:00"/>
    <x v="1"/>
    <s v="West"/>
    <s v="Mobile"/>
    <s v="Social"/>
    <s v="Free"/>
    <n v="0"/>
    <n v="0"/>
    <n v="0"/>
    <n v="0"/>
    <n v="0"/>
    <n v="2"/>
    <n v="0"/>
    <n v="0"/>
    <n v="60.5"/>
  </r>
  <r>
    <x v="775"/>
    <d v="2025-04-12T00:00:00"/>
    <x v="1"/>
    <s v="North"/>
    <s v="Desktop"/>
    <s v="Paid Search"/>
    <s v="Free"/>
    <n v="1"/>
    <n v="0"/>
    <n v="0"/>
    <n v="0"/>
    <n v="0"/>
    <n v="0"/>
    <n v="0"/>
    <n v="0"/>
    <n v="46.7"/>
  </r>
  <r>
    <x v="776"/>
    <d v="2025-01-26T00:00:00"/>
    <x v="1"/>
    <s v="East"/>
    <s v="Desktop"/>
    <s v="Referral"/>
    <s v="Free"/>
    <n v="0"/>
    <n v="0"/>
    <n v="0"/>
    <n v="0"/>
    <n v="0"/>
    <n v="0"/>
    <n v="0"/>
    <n v="0"/>
    <n v="61"/>
  </r>
  <r>
    <x v="777"/>
    <d v="2025-05-24T00:00:00"/>
    <x v="1"/>
    <s v="West"/>
    <s v="Tablet"/>
    <s v="Paid Search"/>
    <s v="Free"/>
    <n v="0"/>
    <n v="0"/>
    <n v="0"/>
    <n v="0"/>
    <n v="0"/>
    <n v="0"/>
    <n v="0"/>
    <n v="0"/>
    <n v="60.9"/>
  </r>
  <r>
    <x v="778"/>
    <d v="2025-01-08T00:00:00"/>
    <x v="1"/>
    <s v="South"/>
    <s v="Mobile"/>
    <s v="Organic"/>
    <s v="Free"/>
    <n v="1"/>
    <n v="0"/>
    <n v="0"/>
    <n v="0"/>
    <n v="0"/>
    <n v="0"/>
    <n v="0"/>
    <n v="0"/>
    <n v="67.099999999999994"/>
  </r>
  <r>
    <x v="779"/>
    <d v="2025-04-15T00:00:00"/>
    <x v="1"/>
    <s v="North"/>
    <s v="Mobile"/>
    <s v="Referral"/>
    <s v="Free"/>
    <n v="1"/>
    <n v="1"/>
    <n v="0"/>
    <n v="0"/>
    <n v="0"/>
    <n v="0"/>
    <n v="0"/>
    <n v="0"/>
    <n v="59.6"/>
  </r>
  <r>
    <x v="780"/>
    <d v="2025-01-15T00:00:00"/>
    <x v="1"/>
    <s v="South"/>
    <s v="Desktop"/>
    <s v="Paid Search"/>
    <s v="Free"/>
    <n v="1"/>
    <n v="0"/>
    <n v="0"/>
    <n v="0"/>
    <n v="0"/>
    <n v="0"/>
    <n v="0"/>
    <n v="0"/>
    <n v="83.8"/>
  </r>
  <r>
    <x v="781"/>
    <d v="2025-02-28T00:00:00"/>
    <x v="1"/>
    <s v="North"/>
    <s v="Mobile"/>
    <s v="Organic"/>
    <s v="Basic"/>
    <n v="1"/>
    <n v="1"/>
    <n v="1"/>
    <n v="0"/>
    <n v="0"/>
    <n v="0"/>
    <n v="0"/>
    <n v="0"/>
    <n v="70.8"/>
  </r>
  <r>
    <x v="782"/>
    <d v="2025-01-01T00:00:00"/>
    <x v="1"/>
    <s v="North"/>
    <s v="Tablet"/>
    <s v="Organic"/>
    <s v="Basic"/>
    <n v="0"/>
    <n v="0"/>
    <n v="0"/>
    <n v="0"/>
    <n v="0"/>
    <n v="0"/>
    <n v="0"/>
    <n v="0"/>
    <n v="65.900000000000006"/>
  </r>
  <r>
    <x v="783"/>
    <d v="2025-04-17T00:00:00"/>
    <x v="1"/>
    <s v="West"/>
    <s v="Mobile"/>
    <s v="Referral"/>
    <s v="Free"/>
    <n v="1"/>
    <n v="0"/>
    <n v="0"/>
    <n v="0"/>
    <n v="0"/>
    <n v="0"/>
    <n v="0"/>
    <n v="0"/>
    <n v="58"/>
  </r>
  <r>
    <x v="784"/>
    <d v="2025-02-19T00:00:00"/>
    <x v="1"/>
    <s v="North"/>
    <s v="Mobile"/>
    <s v="Email"/>
    <s v="Basic"/>
    <n v="1"/>
    <n v="1"/>
    <n v="0"/>
    <n v="0"/>
    <n v="0"/>
    <n v="0"/>
    <n v="0"/>
    <n v="0"/>
    <n v="80.3"/>
  </r>
  <r>
    <x v="785"/>
    <d v="2025-03-14T00:00:00"/>
    <x v="1"/>
    <s v="North"/>
    <s v="Desktop"/>
    <s v="Organic"/>
    <s v="Free"/>
    <n v="1"/>
    <n v="0"/>
    <n v="0"/>
    <n v="0"/>
    <n v="0"/>
    <n v="0"/>
    <n v="0"/>
    <n v="0"/>
    <n v="55.7"/>
  </r>
  <r>
    <x v="786"/>
    <d v="2025-04-21T00:00:00"/>
    <x v="1"/>
    <s v="North"/>
    <s v="Mobile"/>
    <s v="Organic"/>
    <s v="Free"/>
    <n v="1"/>
    <n v="1"/>
    <n v="0"/>
    <n v="0"/>
    <n v="0"/>
    <n v="0"/>
    <n v="0"/>
    <n v="0"/>
    <n v="84.9"/>
  </r>
  <r>
    <x v="787"/>
    <d v="2025-02-14T00:00:00"/>
    <x v="1"/>
    <s v="North"/>
    <s v="Mobile"/>
    <s v="Organic"/>
    <s v="Free"/>
    <n v="1"/>
    <n v="0"/>
    <n v="0"/>
    <n v="0"/>
    <n v="0"/>
    <n v="0"/>
    <n v="0"/>
    <n v="0"/>
    <n v="63.3"/>
  </r>
  <r>
    <x v="788"/>
    <d v="2025-05-30T00:00:00"/>
    <x v="1"/>
    <s v="West"/>
    <s v="Mobile"/>
    <s v="Organic"/>
    <s v="Free"/>
    <n v="0"/>
    <n v="0"/>
    <n v="0"/>
    <n v="0"/>
    <n v="0"/>
    <n v="0"/>
    <n v="0"/>
    <n v="0"/>
    <n v="53.1"/>
  </r>
  <r>
    <x v="789"/>
    <d v="2025-01-20T00:00:00"/>
    <x v="1"/>
    <s v="West"/>
    <s v="Mobile"/>
    <s v="Organic"/>
    <s v="Free"/>
    <n v="0"/>
    <n v="0"/>
    <n v="0"/>
    <n v="0"/>
    <n v="0"/>
    <n v="0"/>
    <n v="0"/>
    <n v="0"/>
    <n v="66"/>
  </r>
  <r>
    <x v="790"/>
    <d v="2025-03-17T00:00:00"/>
    <x v="1"/>
    <s v="West"/>
    <s v="Mobile"/>
    <s v="Social"/>
    <s v="Premium"/>
    <n v="0"/>
    <n v="0"/>
    <n v="0"/>
    <n v="0"/>
    <n v="0"/>
    <n v="0"/>
    <n v="0"/>
    <n v="0"/>
    <n v="54.7"/>
  </r>
  <r>
    <x v="791"/>
    <d v="2025-03-04T00:00:00"/>
    <x v="1"/>
    <s v="West"/>
    <s v="Mobile"/>
    <s v="Social"/>
    <s v="Free"/>
    <n v="1"/>
    <n v="1"/>
    <n v="0"/>
    <n v="0"/>
    <n v="0"/>
    <n v="1"/>
    <n v="0"/>
    <n v="0"/>
    <n v="41.2"/>
  </r>
  <r>
    <x v="792"/>
    <d v="2025-02-22T00:00:00"/>
    <x v="1"/>
    <s v="South"/>
    <s v="Mobile"/>
    <s v="Organic"/>
    <s v="Premium"/>
    <n v="0"/>
    <n v="0"/>
    <n v="0"/>
    <n v="0"/>
    <n v="0"/>
    <n v="0"/>
    <n v="0"/>
    <n v="0"/>
    <n v="66.7"/>
  </r>
  <r>
    <x v="793"/>
    <d v="2025-05-02T00:00:00"/>
    <x v="1"/>
    <s v="North"/>
    <s v="Mobile"/>
    <s v="Paid Search"/>
    <s v="Premium"/>
    <n v="0"/>
    <n v="0"/>
    <n v="0"/>
    <n v="0"/>
    <n v="0"/>
    <n v="0"/>
    <n v="0"/>
    <n v="0"/>
    <n v="39.4"/>
  </r>
  <r>
    <x v="794"/>
    <d v="2025-03-13T00:00:00"/>
    <x v="1"/>
    <s v="West"/>
    <s v="Desktop"/>
    <s v="Organic"/>
    <s v="Premium"/>
    <n v="0"/>
    <n v="0"/>
    <n v="0"/>
    <n v="0"/>
    <n v="0"/>
    <n v="3"/>
    <n v="0"/>
    <n v="0"/>
    <n v="67"/>
  </r>
  <r>
    <x v="795"/>
    <d v="2025-05-31T00:00:00"/>
    <x v="1"/>
    <s v="South"/>
    <s v="Mobile"/>
    <s v="Organic"/>
    <s v="Basic"/>
    <n v="1"/>
    <n v="0"/>
    <n v="0"/>
    <n v="0"/>
    <n v="0"/>
    <n v="0"/>
    <n v="0"/>
    <n v="0"/>
    <n v="50.4"/>
  </r>
  <r>
    <x v="796"/>
    <d v="2025-03-07T00:00:00"/>
    <x v="1"/>
    <s v="West"/>
    <s v="Desktop"/>
    <s v="Social"/>
    <s v="Free"/>
    <n v="1"/>
    <n v="0"/>
    <n v="0"/>
    <n v="0"/>
    <n v="0"/>
    <n v="0"/>
    <n v="0"/>
    <n v="0"/>
    <n v="53.8"/>
  </r>
  <r>
    <x v="797"/>
    <d v="2025-02-22T00:00:00"/>
    <x v="1"/>
    <s v="West"/>
    <s v="Mobile"/>
    <s v="Paid Search"/>
    <s v="Basic"/>
    <n v="0"/>
    <n v="0"/>
    <n v="0"/>
    <n v="0"/>
    <n v="0"/>
    <n v="1"/>
    <n v="0"/>
    <n v="0"/>
    <n v="82.7"/>
  </r>
  <r>
    <x v="798"/>
    <d v="2025-01-05T00:00:00"/>
    <x v="1"/>
    <s v="West"/>
    <s v="Desktop"/>
    <s v="Paid Search"/>
    <s v="Free"/>
    <n v="1"/>
    <n v="1"/>
    <n v="1"/>
    <n v="0"/>
    <n v="0"/>
    <n v="0"/>
    <n v="0"/>
    <n v="0"/>
    <n v="63.9"/>
  </r>
  <r>
    <x v="799"/>
    <d v="2025-01-21T00:00:00"/>
    <x v="1"/>
    <s v="West"/>
    <s v="Mobile"/>
    <s v="Referral"/>
    <s v="Free"/>
    <n v="1"/>
    <n v="0"/>
    <n v="0"/>
    <n v="0"/>
    <n v="0"/>
    <n v="0"/>
    <n v="0"/>
    <n v="0"/>
    <n v="61.9"/>
  </r>
  <r>
    <x v="800"/>
    <d v="2025-01-25T00:00:00"/>
    <x v="1"/>
    <s v="North"/>
    <s v="Desktop"/>
    <s v="Social"/>
    <s v="Free"/>
    <n v="1"/>
    <n v="1"/>
    <n v="1"/>
    <n v="0"/>
    <n v="0"/>
    <n v="0"/>
    <n v="0"/>
    <n v="0"/>
    <n v="75"/>
  </r>
  <r>
    <x v="801"/>
    <d v="2025-04-04T00:00:00"/>
    <x v="1"/>
    <s v="West"/>
    <s v="Mobile"/>
    <s v="Paid Search"/>
    <s v="Basic"/>
    <n v="1"/>
    <n v="1"/>
    <n v="1"/>
    <n v="0"/>
    <n v="0"/>
    <n v="0"/>
    <n v="0"/>
    <n v="0"/>
    <n v="43"/>
  </r>
  <r>
    <x v="802"/>
    <d v="2025-03-25T00:00:00"/>
    <x v="1"/>
    <s v="North"/>
    <s v="Desktop"/>
    <s v="Social"/>
    <s v="Premium"/>
    <n v="0"/>
    <n v="0"/>
    <n v="0"/>
    <n v="0"/>
    <n v="0"/>
    <n v="0"/>
    <n v="0"/>
    <n v="0"/>
    <n v="54.3"/>
  </r>
  <r>
    <x v="803"/>
    <d v="2025-03-19T00:00:00"/>
    <x v="1"/>
    <s v="West"/>
    <s v="Mobile"/>
    <s v="Social"/>
    <s v="Free"/>
    <n v="0"/>
    <n v="0"/>
    <n v="0"/>
    <n v="0"/>
    <n v="0"/>
    <n v="2"/>
    <n v="0"/>
    <n v="0"/>
    <n v="44.3"/>
  </r>
  <r>
    <x v="804"/>
    <d v="2025-04-24T00:00:00"/>
    <x v="1"/>
    <s v="West"/>
    <s v="Desktop"/>
    <s v="Organic"/>
    <s v="Free"/>
    <n v="1"/>
    <n v="1"/>
    <n v="1"/>
    <n v="1"/>
    <n v="402.88"/>
    <n v="0"/>
    <n v="0"/>
    <n v="12"/>
    <n v="76"/>
  </r>
  <r>
    <x v="805"/>
    <d v="2025-04-04T00:00:00"/>
    <x v="1"/>
    <s v="South"/>
    <s v="Tablet"/>
    <s v="Organic"/>
    <s v="Free"/>
    <n v="1"/>
    <n v="0"/>
    <n v="0"/>
    <n v="0"/>
    <n v="0"/>
    <n v="2"/>
    <n v="0"/>
    <n v="0"/>
    <n v="65.3"/>
  </r>
  <r>
    <x v="806"/>
    <d v="2025-03-28T00:00:00"/>
    <x v="1"/>
    <s v="South"/>
    <s v="Desktop"/>
    <s v="Paid Search"/>
    <s v="Premium"/>
    <n v="1"/>
    <n v="0"/>
    <n v="0"/>
    <n v="0"/>
    <n v="0"/>
    <n v="0"/>
    <n v="0"/>
    <n v="0"/>
    <n v="71.2"/>
  </r>
  <r>
    <x v="807"/>
    <d v="2025-05-15T00:00:00"/>
    <x v="1"/>
    <s v="South"/>
    <s v="Tablet"/>
    <s v="Paid Search"/>
    <s v="Free"/>
    <n v="1"/>
    <n v="0"/>
    <n v="0"/>
    <n v="0"/>
    <n v="0"/>
    <n v="0"/>
    <n v="0"/>
    <n v="0"/>
    <n v="77.900000000000006"/>
  </r>
  <r>
    <x v="808"/>
    <d v="2025-03-13T00:00:00"/>
    <x v="1"/>
    <s v="West"/>
    <s v="Mobile"/>
    <s v="Paid Search"/>
    <s v="Free"/>
    <n v="0"/>
    <n v="0"/>
    <n v="0"/>
    <n v="0"/>
    <n v="0"/>
    <n v="0"/>
    <n v="0"/>
    <n v="0"/>
    <n v="48.6"/>
  </r>
  <r>
    <x v="809"/>
    <d v="2025-03-26T00:00:00"/>
    <x v="1"/>
    <s v="North"/>
    <s v="Mobile"/>
    <s v="Social"/>
    <s v="Premium"/>
    <n v="1"/>
    <n v="0"/>
    <n v="0"/>
    <n v="0"/>
    <n v="0"/>
    <n v="0"/>
    <n v="0"/>
    <n v="0"/>
    <n v="61.9"/>
  </r>
  <r>
    <x v="810"/>
    <d v="2025-01-09T00:00:00"/>
    <x v="1"/>
    <s v="North"/>
    <s v="Mobile"/>
    <s v="Social"/>
    <s v="Basic"/>
    <n v="0"/>
    <n v="0"/>
    <n v="0"/>
    <n v="0"/>
    <n v="0"/>
    <n v="1"/>
    <n v="0"/>
    <n v="0"/>
    <n v="58.7"/>
  </r>
  <r>
    <x v="811"/>
    <d v="2025-05-06T00:00:00"/>
    <x v="1"/>
    <s v="South"/>
    <s v="Desktop"/>
    <s v="Paid Search"/>
    <s v="Free"/>
    <n v="1"/>
    <n v="0"/>
    <n v="0"/>
    <n v="0"/>
    <n v="0"/>
    <n v="0"/>
    <n v="0"/>
    <n v="0"/>
    <n v="69.599999999999994"/>
  </r>
  <r>
    <x v="812"/>
    <d v="2025-02-17T00:00:00"/>
    <x v="1"/>
    <s v="South"/>
    <s v="Mobile"/>
    <s v="Organic"/>
    <s v="Free"/>
    <n v="1"/>
    <n v="0"/>
    <n v="0"/>
    <n v="0"/>
    <n v="0"/>
    <n v="0"/>
    <n v="0"/>
    <n v="0"/>
    <n v="51.5"/>
  </r>
  <r>
    <x v="813"/>
    <d v="2025-04-05T00:00:00"/>
    <x v="1"/>
    <s v="East"/>
    <s v="Mobile"/>
    <s v="Paid Search"/>
    <s v="Free"/>
    <n v="1"/>
    <n v="1"/>
    <n v="1"/>
    <n v="1"/>
    <n v="277.69"/>
    <n v="3"/>
    <n v="0"/>
    <n v="8"/>
    <n v="46"/>
  </r>
  <r>
    <x v="814"/>
    <d v="2025-04-13T00:00:00"/>
    <x v="1"/>
    <s v="West"/>
    <s v="Tablet"/>
    <s v="Organic"/>
    <s v="Free"/>
    <n v="1"/>
    <n v="0"/>
    <n v="0"/>
    <n v="0"/>
    <n v="0"/>
    <n v="0"/>
    <n v="0"/>
    <n v="0"/>
    <n v="81.7"/>
  </r>
  <r>
    <x v="815"/>
    <d v="2025-05-20T00:00:00"/>
    <x v="1"/>
    <s v="East"/>
    <s v="Desktop"/>
    <s v="Referral"/>
    <s v="Free"/>
    <n v="1"/>
    <n v="0"/>
    <n v="0"/>
    <n v="0"/>
    <n v="0"/>
    <n v="0"/>
    <n v="0"/>
    <n v="0"/>
    <n v="48.3"/>
  </r>
  <r>
    <x v="816"/>
    <d v="2025-03-31T00:00:00"/>
    <x v="1"/>
    <s v="East"/>
    <s v="Mobile"/>
    <s v="Email"/>
    <s v="Free"/>
    <n v="1"/>
    <n v="1"/>
    <n v="0"/>
    <n v="0"/>
    <n v="0"/>
    <n v="0"/>
    <n v="0"/>
    <n v="0"/>
    <n v="85.6"/>
  </r>
  <r>
    <x v="817"/>
    <d v="2025-04-03T00:00:00"/>
    <x v="1"/>
    <s v="West"/>
    <s v="Tablet"/>
    <s v="Paid Search"/>
    <s v="Basic"/>
    <n v="1"/>
    <n v="0"/>
    <n v="0"/>
    <n v="0"/>
    <n v="0"/>
    <n v="0"/>
    <n v="0"/>
    <n v="0"/>
    <n v="53.8"/>
  </r>
  <r>
    <x v="818"/>
    <d v="2025-02-04T00:00:00"/>
    <x v="1"/>
    <s v="South"/>
    <s v="Mobile"/>
    <s v="Organic"/>
    <s v="Free"/>
    <n v="1"/>
    <n v="1"/>
    <n v="1"/>
    <n v="1"/>
    <n v="460.83"/>
    <n v="2"/>
    <n v="0"/>
    <n v="0"/>
    <n v="69.7"/>
  </r>
  <r>
    <x v="819"/>
    <d v="2025-05-19T00:00:00"/>
    <x v="1"/>
    <s v="East"/>
    <s v="Mobile"/>
    <s v="Organic"/>
    <s v="Free"/>
    <n v="1"/>
    <n v="0"/>
    <n v="0"/>
    <n v="0"/>
    <n v="0"/>
    <n v="0"/>
    <n v="0"/>
    <n v="0"/>
    <n v="74.8"/>
  </r>
  <r>
    <x v="820"/>
    <d v="2025-03-08T00:00:00"/>
    <x v="1"/>
    <s v="East"/>
    <s v="Desktop"/>
    <s v="Paid Search"/>
    <s v="Basic"/>
    <n v="0"/>
    <n v="0"/>
    <n v="0"/>
    <n v="0"/>
    <n v="0"/>
    <n v="0"/>
    <n v="0"/>
    <n v="0"/>
    <n v="87.9"/>
  </r>
  <r>
    <x v="821"/>
    <d v="2025-05-10T00:00:00"/>
    <x v="1"/>
    <s v="North"/>
    <s v="Mobile"/>
    <s v="Social"/>
    <s v="Basic"/>
    <n v="1"/>
    <n v="0"/>
    <n v="0"/>
    <n v="0"/>
    <n v="0"/>
    <n v="1"/>
    <n v="0"/>
    <n v="0"/>
    <n v="49.1"/>
  </r>
  <r>
    <x v="822"/>
    <d v="2025-01-02T00:00:00"/>
    <x v="1"/>
    <s v="East"/>
    <s v="Desktop"/>
    <s v="Social"/>
    <s v="Basic"/>
    <n v="1"/>
    <n v="0"/>
    <n v="0"/>
    <n v="0"/>
    <n v="0"/>
    <n v="2"/>
    <n v="0"/>
    <n v="0"/>
    <n v="73"/>
  </r>
  <r>
    <x v="823"/>
    <d v="2025-01-17T00:00:00"/>
    <x v="1"/>
    <s v="West"/>
    <s v="Mobile"/>
    <s v="Organic"/>
    <s v="Basic"/>
    <n v="0"/>
    <n v="0"/>
    <n v="0"/>
    <n v="0"/>
    <n v="0"/>
    <n v="0"/>
    <n v="0"/>
    <n v="0"/>
    <n v="79.5"/>
  </r>
  <r>
    <x v="824"/>
    <d v="2025-05-21T00:00:00"/>
    <x v="1"/>
    <s v="West"/>
    <s v="Mobile"/>
    <s v="Referral"/>
    <s v="Basic"/>
    <n v="1"/>
    <n v="1"/>
    <n v="1"/>
    <n v="1"/>
    <n v="782.23"/>
    <n v="1"/>
    <n v="0"/>
    <n v="6"/>
    <n v="93.2"/>
  </r>
  <r>
    <x v="825"/>
    <d v="2025-05-25T00:00:00"/>
    <x v="1"/>
    <s v="East"/>
    <s v="Desktop"/>
    <s v="Referral"/>
    <s v="Free"/>
    <n v="1"/>
    <n v="0"/>
    <n v="0"/>
    <n v="0"/>
    <n v="0"/>
    <n v="3"/>
    <n v="0"/>
    <n v="0"/>
    <n v="77.5"/>
  </r>
  <r>
    <x v="826"/>
    <d v="2025-01-05T00:00:00"/>
    <x v="1"/>
    <s v="West"/>
    <s v="Mobile"/>
    <s v="Email"/>
    <s v="Basic"/>
    <n v="1"/>
    <n v="0"/>
    <n v="0"/>
    <n v="0"/>
    <n v="0"/>
    <n v="0"/>
    <n v="0"/>
    <n v="0"/>
    <n v="61"/>
  </r>
  <r>
    <x v="827"/>
    <d v="2025-02-24T00:00:00"/>
    <x v="1"/>
    <s v="South"/>
    <s v="Desktop"/>
    <s v="Organic"/>
    <s v="Free"/>
    <n v="1"/>
    <n v="1"/>
    <n v="0"/>
    <n v="0"/>
    <n v="0"/>
    <n v="0"/>
    <n v="0"/>
    <n v="0"/>
    <n v="64.900000000000006"/>
  </r>
  <r>
    <x v="828"/>
    <d v="2025-01-21T00:00:00"/>
    <x v="1"/>
    <s v="East"/>
    <s v="Mobile"/>
    <s v="Paid Search"/>
    <s v="Basic"/>
    <n v="1"/>
    <n v="0"/>
    <n v="0"/>
    <n v="0"/>
    <n v="0"/>
    <n v="0"/>
    <n v="0"/>
    <n v="0"/>
    <n v="87.5"/>
  </r>
  <r>
    <x v="829"/>
    <d v="2025-04-24T00:00:00"/>
    <x v="1"/>
    <s v="North"/>
    <s v="Mobile"/>
    <s v="Organic"/>
    <s v="Basic"/>
    <n v="1"/>
    <n v="1"/>
    <n v="1"/>
    <n v="1"/>
    <n v="1171.99"/>
    <n v="0"/>
    <n v="0"/>
    <n v="5"/>
    <n v="80.599999999999994"/>
  </r>
  <r>
    <x v="830"/>
    <d v="2025-01-07T00:00:00"/>
    <x v="1"/>
    <s v="West"/>
    <s v="Desktop"/>
    <s v="Organic"/>
    <s v="Free"/>
    <n v="1"/>
    <n v="0"/>
    <n v="0"/>
    <n v="0"/>
    <n v="0"/>
    <n v="0"/>
    <n v="0"/>
    <n v="0"/>
    <n v="66.900000000000006"/>
  </r>
  <r>
    <x v="831"/>
    <d v="2025-05-31T00:00:00"/>
    <x v="1"/>
    <s v="South"/>
    <s v="Tablet"/>
    <s v="Organic"/>
    <s v="Basic"/>
    <n v="1"/>
    <n v="1"/>
    <n v="1"/>
    <n v="0"/>
    <n v="0"/>
    <n v="0"/>
    <n v="0"/>
    <n v="0"/>
    <n v="58.8"/>
  </r>
  <r>
    <x v="832"/>
    <d v="2025-04-02T00:00:00"/>
    <x v="1"/>
    <s v="North"/>
    <s v="Desktop"/>
    <s v="Organic"/>
    <s v="Basic"/>
    <n v="1"/>
    <n v="1"/>
    <n v="1"/>
    <n v="1"/>
    <n v="1010.4"/>
    <n v="0"/>
    <n v="0"/>
    <n v="4"/>
    <n v="42.9"/>
  </r>
  <r>
    <x v="833"/>
    <d v="2025-04-21T00:00:00"/>
    <x v="1"/>
    <s v="East"/>
    <s v="Mobile"/>
    <s v="Organic"/>
    <s v="Free"/>
    <n v="1"/>
    <n v="1"/>
    <n v="1"/>
    <n v="0"/>
    <n v="0"/>
    <n v="1"/>
    <n v="0"/>
    <n v="0"/>
    <n v="60.2"/>
  </r>
  <r>
    <x v="834"/>
    <d v="2025-05-05T00:00:00"/>
    <x v="1"/>
    <s v="East"/>
    <s v="Mobile"/>
    <s v="Paid Search"/>
    <s v="Basic"/>
    <n v="1"/>
    <n v="0"/>
    <n v="0"/>
    <n v="0"/>
    <n v="0"/>
    <n v="0"/>
    <n v="0"/>
    <n v="0"/>
    <n v="42.7"/>
  </r>
  <r>
    <x v="835"/>
    <d v="2025-01-06T00:00:00"/>
    <x v="1"/>
    <s v="North"/>
    <s v="Desktop"/>
    <s v="Social"/>
    <s v="Free"/>
    <n v="1"/>
    <n v="1"/>
    <n v="1"/>
    <n v="1"/>
    <n v="431.27"/>
    <n v="0"/>
    <n v="0"/>
    <n v="7"/>
    <n v="60.8"/>
  </r>
  <r>
    <x v="836"/>
    <d v="2025-04-24T00:00:00"/>
    <x v="1"/>
    <s v="South"/>
    <s v="Mobile"/>
    <s v="Referral"/>
    <s v="Free"/>
    <n v="1"/>
    <n v="1"/>
    <n v="1"/>
    <n v="1"/>
    <n v="428.8"/>
    <n v="0"/>
    <n v="0"/>
    <n v="9"/>
    <n v="79.3"/>
  </r>
  <r>
    <x v="837"/>
    <d v="2025-04-21T00:00:00"/>
    <x v="1"/>
    <s v="South"/>
    <s v="Mobile"/>
    <s v="Organic"/>
    <s v="Basic"/>
    <n v="1"/>
    <n v="0"/>
    <n v="0"/>
    <n v="0"/>
    <n v="0"/>
    <n v="1"/>
    <n v="0"/>
    <n v="0"/>
    <n v="88.6"/>
  </r>
  <r>
    <x v="838"/>
    <d v="2025-02-09T00:00:00"/>
    <x v="1"/>
    <s v="West"/>
    <s v="Mobile"/>
    <s v="Organic"/>
    <s v="Basic"/>
    <n v="1"/>
    <n v="1"/>
    <n v="1"/>
    <n v="0"/>
    <n v="0"/>
    <n v="0"/>
    <n v="0"/>
    <n v="0"/>
    <n v="63.1"/>
  </r>
  <r>
    <x v="839"/>
    <d v="2025-01-09T00:00:00"/>
    <x v="1"/>
    <s v="East"/>
    <s v="Mobile"/>
    <s v="Organic"/>
    <s v="Premium"/>
    <n v="1"/>
    <n v="0"/>
    <n v="0"/>
    <n v="0"/>
    <n v="0"/>
    <n v="0"/>
    <n v="0"/>
    <n v="0"/>
    <n v="39.700000000000003"/>
  </r>
  <r>
    <x v="840"/>
    <d v="2025-02-16T00:00:00"/>
    <x v="1"/>
    <s v="North"/>
    <s v="Mobile"/>
    <s v="Paid Search"/>
    <s v="Basic"/>
    <n v="0"/>
    <n v="0"/>
    <n v="0"/>
    <n v="0"/>
    <n v="0"/>
    <n v="0"/>
    <n v="0"/>
    <n v="0"/>
    <n v="67.2"/>
  </r>
  <r>
    <x v="841"/>
    <d v="2025-02-21T00:00:00"/>
    <x v="1"/>
    <s v="South"/>
    <s v="Mobile"/>
    <s v="Organic"/>
    <s v="Free"/>
    <n v="1"/>
    <n v="1"/>
    <n v="1"/>
    <n v="0"/>
    <n v="0"/>
    <n v="0"/>
    <n v="0"/>
    <n v="0"/>
    <n v="62.3"/>
  </r>
  <r>
    <x v="842"/>
    <d v="2025-02-08T00:00:00"/>
    <x v="1"/>
    <s v="South"/>
    <s v="Mobile"/>
    <s v="Organic"/>
    <s v="Premium"/>
    <n v="1"/>
    <n v="0"/>
    <n v="0"/>
    <n v="0"/>
    <n v="0"/>
    <n v="0"/>
    <n v="0"/>
    <n v="0"/>
    <n v="0"/>
  </r>
  <r>
    <x v="843"/>
    <d v="2025-01-22T00:00:00"/>
    <x v="1"/>
    <s v="South"/>
    <s v="Mobile"/>
    <s v="Paid Search"/>
    <s v="Premium"/>
    <n v="0"/>
    <n v="0"/>
    <n v="0"/>
    <n v="0"/>
    <n v="0"/>
    <n v="0"/>
    <n v="0"/>
    <n v="0"/>
    <n v="60.7"/>
  </r>
  <r>
    <x v="844"/>
    <d v="2025-04-01T00:00:00"/>
    <x v="1"/>
    <s v="West"/>
    <s v="Mobile"/>
    <s v="Organic"/>
    <s v="Basic"/>
    <n v="1"/>
    <n v="0"/>
    <n v="0"/>
    <n v="0"/>
    <n v="0"/>
    <n v="0"/>
    <n v="0"/>
    <n v="0"/>
    <n v="61.5"/>
  </r>
  <r>
    <x v="845"/>
    <d v="2025-01-21T00:00:00"/>
    <x v="1"/>
    <s v="North"/>
    <s v="Mobile"/>
    <s v="Paid Search"/>
    <s v="Basic"/>
    <n v="1"/>
    <n v="0"/>
    <n v="0"/>
    <n v="0"/>
    <n v="0"/>
    <n v="0"/>
    <n v="0"/>
    <n v="0"/>
    <n v="75"/>
  </r>
  <r>
    <x v="846"/>
    <d v="2025-01-02T00:00:00"/>
    <x v="1"/>
    <s v="East"/>
    <s v="Desktop"/>
    <s v="Organic"/>
    <s v="Free"/>
    <n v="1"/>
    <n v="1"/>
    <n v="0"/>
    <n v="0"/>
    <n v="0"/>
    <n v="0"/>
    <n v="0"/>
    <n v="0"/>
    <n v="51.9"/>
  </r>
  <r>
    <x v="847"/>
    <d v="2025-05-12T00:00:00"/>
    <x v="1"/>
    <s v="South"/>
    <s v="Desktop"/>
    <s v="Paid Search"/>
    <s v="Free"/>
    <n v="0"/>
    <n v="0"/>
    <n v="0"/>
    <n v="0"/>
    <n v="0"/>
    <n v="0"/>
    <n v="0"/>
    <n v="0"/>
    <n v="34.5"/>
  </r>
  <r>
    <x v="848"/>
    <d v="2025-03-05T00:00:00"/>
    <x v="1"/>
    <s v="South"/>
    <s v="Mobile"/>
    <s v="Social"/>
    <s v="Basic"/>
    <n v="0"/>
    <n v="0"/>
    <n v="0"/>
    <n v="0"/>
    <n v="0"/>
    <n v="0"/>
    <n v="0"/>
    <n v="0"/>
    <n v="54.5"/>
  </r>
  <r>
    <x v="849"/>
    <d v="2025-01-24T00:00:00"/>
    <x v="1"/>
    <s v="East"/>
    <s v="Mobile"/>
    <s v="Organic"/>
    <s v="Free"/>
    <n v="0"/>
    <n v="0"/>
    <n v="0"/>
    <n v="0"/>
    <n v="0"/>
    <n v="0"/>
    <n v="0"/>
    <n v="0"/>
    <n v="46"/>
  </r>
  <r>
    <x v="850"/>
    <d v="2025-01-31T00:00:00"/>
    <x v="1"/>
    <s v="East"/>
    <s v="Desktop"/>
    <s v="Email"/>
    <s v="Free"/>
    <n v="1"/>
    <n v="1"/>
    <n v="1"/>
    <n v="0"/>
    <n v="0"/>
    <n v="0"/>
    <n v="0"/>
    <n v="0"/>
    <n v="88.4"/>
  </r>
  <r>
    <x v="851"/>
    <d v="2025-01-24T00:00:00"/>
    <x v="1"/>
    <s v="North"/>
    <s v="Tablet"/>
    <s v="Organic"/>
    <s v="Basic"/>
    <n v="1"/>
    <n v="0"/>
    <n v="0"/>
    <n v="0"/>
    <n v="0"/>
    <n v="0"/>
    <n v="0"/>
    <n v="0"/>
    <n v="69.5"/>
  </r>
  <r>
    <x v="852"/>
    <d v="2025-02-14T00:00:00"/>
    <x v="1"/>
    <s v="North"/>
    <s v="Desktop"/>
    <s v="Referral"/>
    <s v="Basic"/>
    <n v="1"/>
    <n v="1"/>
    <n v="1"/>
    <n v="0"/>
    <n v="0"/>
    <n v="0"/>
    <n v="0"/>
    <n v="0"/>
    <n v="74.2"/>
  </r>
  <r>
    <x v="853"/>
    <d v="2025-05-27T00:00:00"/>
    <x v="1"/>
    <s v="North"/>
    <s v="Mobile"/>
    <s v="Organic"/>
    <s v="Free"/>
    <n v="1"/>
    <n v="1"/>
    <n v="1"/>
    <n v="0"/>
    <n v="0"/>
    <n v="0"/>
    <n v="0"/>
    <n v="0"/>
    <n v="72.099999999999994"/>
  </r>
  <r>
    <x v="854"/>
    <d v="2025-02-28T00:00:00"/>
    <x v="1"/>
    <s v="North"/>
    <s v="Mobile"/>
    <s v="Paid Search"/>
    <s v="Free"/>
    <n v="1"/>
    <n v="1"/>
    <n v="1"/>
    <n v="1"/>
    <n v="398.33"/>
    <n v="0"/>
    <n v="0"/>
    <n v="5"/>
    <n v="85.1"/>
  </r>
  <r>
    <x v="855"/>
    <d v="2025-05-27T00:00:00"/>
    <x v="1"/>
    <s v="North"/>
    <s v="Mobile"/>
    <s v="Organic"/>
    <s v="Basic"/>
    <n v="1"/>
    <n v="1"/>
    <n v="1"/>
    <n v="0"/>
    <n v="0"/>
    <n v="0"/>
    <n v="0"/>
    <n v="0"/>
    <n v="49.5"/>
  </r>
  <r>
    <x v="856"/>
    <d v="2025-05-17T00:00:00"/>
    <x v="1"/>
    <s v="South"/>
    <s v="Mobile"/>
    <s v="Paid Search"/>
    <s v="Premium"/>
    <n v="0"/>
    <n v="0"/>
    <n v="0"/>
    <n v="0"/>
    <n v="0"/>
    <n v="1"/>
    <n v="0"/>
    <n v="0"/>
    <n v="79"/>
  </r>
  <r>
    <x v="857"/>
    <d v="2025-01-10T00:00:00"/>
    <x v="1"/>
    <s v="West"/>
    <s v="Desktop"/>
    <s v="Social"/>
    <s v="Free"/>
    <n v="0"/>
    <n v="0"/>
    <n v="0"/>
    <n v="0"/>
    <n v="0"/>
    <n v="0"/>
    <n v="0"/>
    <n v="0"/>
    <n v="71.8"/>
  </r>
  <r>
    <x v="858"/>
    <d v="2025-04-22T00:00:00"/>
    <x v="1"/>
    <s v="North"/>
    <s v="Mobile"/>
    <s v="Email"/>
    <s v="Basic"/>
    <n v="1"/>
    <n v="1"/>
    <n v="1"/>
    <n v="1"/>
    <n v="1117.54"/>
    <n v="0"/>
    <n v="0"/>
    <n v="6"/>
    <n v="60.4"/>
  </r>
  <r>
    <x v="859"/>
    <d v="2025-03-02T00:00:00"/>
    <x v="1"/>
    <s v="South"/>
    <s v="Desktop"/>
    <s v="Organic"/>
    <s v="Basic"/>
    <n v="1"/>
    <n v="0"/>
    <n v="0"/>
    <n v="0"/>
    <n v="0"/>
    <n v="2"/>
    <n v="0"/>
    <n v="0"/>
    <n v="38.299999999999997"/>
  </r>
  <r>
    <x v="860"/>
    <d v="2025-03-23T00:00:00"/>
    <x v="1"/>
    <s v="East"/>
    <s v="Mobile"/>
    <s v="Paid Search"/>
    <s v="Free"/>
    <n v="1"/>
    <n v="1"/>
    <n v="1"/>
    <n v="0"/>
    <n v="0"/>
    <n v="0"/>
    <n v="0"/>
    <n v="0"/>
    <n v="79.599999999999994"/>
  </r>
  <r>
    <x v="861"/>
    <d v="2025-02-12T00:00:00"/>
    <x v="1"/>
    <s v="East"/>
    <s v="Mobile"/>
    <s v="Email"/>
    <s v="Free"/>
    <n v="1"/>
    <n v="1"/>
    <n v="1"/>
    <n v="0"/>
    <n v="0"/>
    <n v="0"/>
    <n v="0"/>
    <n v="0"/>
    <n v="71.900000000000006"/>
  </r>
  <r>
    <x v="862"/>
    <d v="2025-05-03T00:00:00"/>
    <x v="1"/>
    <s v="South"/>
    <s v="Mobile"/>
    <s v="Referral"/>
    <s v="Basic"/>
    <n v="1"/>
    <n v="0"/>
    <n v="0"/>
    <n v="0"/>
    <n v="0"/>
    <n v="0"/>
    <n v="0"/>
    <n v="0"/>
    <n v="54.6"/>
  </r>
  <r>
    <x v="863"/>
    <d v="2025-03-28T00:00:00"/>
    <x v="1"/>
    <s v="North"/>
    <s v="Desktop"/>
    <s v="Social"/>
    <s v="Free"/>
    <n v="1"/>
    <n v="0"/>
    <n v="0"/>
    <n v="0"/>
    <n v="0"/>
    <n v="3"/>
    <n v="0"/>
    <n v="0"/>
    <n v="49.3"/>
  </r>
  <r>
    <x v="864"/>
    <d v="2025-03-12T00:00:00"/>
    <x v="1"/>
    <s v="North"/>
    <s v="Mobile"/>
    <s v="Social"/>
    <s v="Basic"/>
    <n v="0"/>
    <n v="0"/>
    <n v="0"/>
    <n v="0"/>
    <n v="0"/>
    <n v="1"/>
    <n v="0"/>
    <n v="0"/>
    <n v="66.900000000000006"/>
  </r>
  <r>
    <x v="865"/>
    <d v="2025-04-27T00:00:00"/>
    <x v="1"/>
    <s v="East"/>
    <s v="Mobile"/>
    <s v="Paid Search"/>
    <s v="Free"/>
    <n v="1"/>
    <n v="0"/>
    <n v="0"/>
    <n v="0"/>
    <n v="0"/>
    <n v="1"/>
    <n v="0"/>
    <n v="0"/>
    <n v="77.8"/>
  </r>
  <r>
    <x v="866"/>
    <d v="2025-04-02T00:00:00"/>
    <x v="1"/>
    <s v="South"/>
    <s v="Mobile"/>
    <s v="Referral"/>
    <s v="Basic"/>
    <n v="1"/>
    <n v="0"/>
    <n v="0"/>
    <n v="0"/>
    <n v="0"/>
    <n v="0"/>
    <n v="0"/>
    <n v="0"/>
    <n v="63"/>
  </r>
  <r>
    <x v="867"/>
    <d v="2025-04-21T00:00:00"/>
    <x v="1"/>
    <s v="North"/>
    <s v="Mobile"/>
    <s v="Social"/>
    <s v="Free"/>
    <n v="0"/>
    <n v="0"/>
    <n v="0"/>
    <n v="0"/>
    <n v="0"/>
    <n v="0"/>
    <n v="0"/>
    <n v="0"/>
    <n v="79.8"/>
  </r>
  <r>
    <x v="868"/>
    <d v="2025-01-26T00:00:00"/>
    <x v="1"/>
    <s v="West"/>
    <s v="Desktop"/>
    <s v="Organic"/>
    <s v="Basic"/>
    <n v="0"/>
    <n v="0"/>
    <n v="0"/>
    <n v="0"/>
    <n v="0"/>
    <n v="0"/>
    <n v="0"/>
    <n v="0"/>
    <n v="69.900000000000006"/>
  </r>
  <r>
    <x v="869"/>
    <d v="2025-01-06T00:00:00"/>
    <x v="1"/>
    <s v="West"/>
    <s v="Mobile"/>
    <s v="Organic"/>
    <s v="Free"/>
    <n v="0"/>
    <n v="0"/>
    <n v="0"/>
    <n v="0"/>
    <n v="0"/>
    <n v="1"/>
    <n v="0"/>
    <n v="0"/>
    <n v="66.400000000000006"/>
  </r>
  <r>
    <x v="870"/>
    <d v="2025-02-07T00:00:00"/>
    <x v="1"/>
    <s v="East"/>
    <s v="Mobile"/>
    <s v="Organic"/>
    <s v="Free"/>
    <n v="1"/>
    <n v="0"/>
    <n v="0"/>
    <n v="0"/>
    <n v="0"/>
    <n v="0"/>
    <n v="0"/>
    <n v="0"/>
    <n v="27.6"/>
  </r>
  <r>
    <x v="871"/>
    <d v="2025-05-07T00:00:00"/>
    <x v="1"/>
    <s v="West"/>
    <s v="Mobile"/>
    <s v="Organic"/>
    <s v="Premium"/>
    <n v="1"/>
    <n v="0"/>
    <n v="0"/>
    <n v="0"/>
    <n v="0"/>
    <n v="1"/>
    <n v="0"/>
    <n v="0"/>
    <n v="56.5"/>
  </r>
  <r>
    <x v="872"/>
    <d v="2025-04-22T00:00:00"/>
    <x v="1"/>
    <s v="West"/>
    <s v="Unknown"/>
    <s v="Social"/>
    <s v="Free"/>
    <n v="1"/>
    <n v="0"/>
    <n v="0"/>
    <n v="0"/>
    <n v="0"/>
    <n v="0"/>
    <n v="0"/>
    <n v="0"/>
    <n v="67.8"/>
  </r>
  <r>
    <x v="873"/>
    <d v="2025-05-04T00:00:00"/>
    <x v="1"/>
    <s v="West"/>
    <s v="Desktop"/>
    <s v="Social"/>
    <s v="Free"/>
    <n v="1"/>
    <n v="0"/>
    <n v="0"/>
    <n v="0"/>
    <n v="0"/>
    <n v="0"/>
    <n v="0"/>
    <n v="0"/>
    <n v="80"/>
  </r>
  <r>
    <x v="874"/>
    <d v="2025-05-16T00:00:00"/>
    <x v="1"/>
    <s v="South"/>
    <s v="Mobile"/>
    <s v="Social"/>
    <s v="Basic"/>
    <n v="1"/>
    <n v="1"/>
    <n v="1"/>
    <n v="0"/>
    <n v="0"/>
    <n v="1"/>
    <n v="0"/>
    <n v="0"/>
    <n v="80.900000000000006"/>
  </r>
  <r>
    <x v="875"/>
    <d v="2025-02-11T00:00:00"/>
    <x v="1"/>
    <s v="West"/>
    <s v="Mobile"/>
    <s v="Paid Search"/>
    <s v="Free"/>
    <n v="0"/>
    <n v="0"/>
    <n v="0"/>
    <n v="0"/>
    <n v="0"/>
    <n v="0"/>
    <n v="0"/>
    <n v="0"/>
    <n v="34.5"/>
  </r>
  <r>
    <x v="876"/>
    <d v="2025-05-09T00:00:00"/>
    <x v="1"/>
    <s v="East"/>
    <s v="Desktop"/>
    <s v="Organic"/>
    <s v="Premium"/>
    <n v="1"/>
    <n v="0"/>
    <n v="0"/>
    <n v="0"/>
    <n v="0"/>
    <n v="0"/>
    <n v="0"/>
    <n v="0"/>
    <n v="73.5"/>
  </r>
  <r>
    <x v="877"/>
    <d v="2025-02-09T00:00:00"/>
    <x v="1"/>
    <s v="South"/>
    <s v="Desktop"/>
    <s v="Paid Search"/>
    <s v="Free"/>
    <n v="1"/>
    <n v="1"/>
    <n v="0"/>
    <n v="0"/>
    <n v="0"/>
    <n v="0"/>
    <n v="0"/>
    <n v="0"/>
    <n v="70"/>
  </r>
  <r>
    <x v="878"/>
    <d v="2025-05-22T00:00:00"/>
    <x v="1"/>
    <s v="West"/>
    <s v="Mobile"/>
    <s v="Social"/>
    <s v="Basic"/>
    <n v="0"/>
    <n v="0"/>
    <n v="0"/>
    <n v="0"/>
    <n v="0"/>
    <n v="0"/>
    <n v="0"/>
    <n v="0"/>
    <n v="86.9"/>
  </r>
  <r>
    <x v="879"/>
    <d v="2025-05-24T00:00:00"/>
    <x v="1"/>
    <s v="East"/>
    <s v="Mobile"/>
    <s v="Social"/>
    <s v="Basic"/>
    <n v="0"/>
    <n v="0"/>
    <n v="0"/>
    <n v="0"/>
    <n v="0"/>
    <n v="0"/>
    <n v="0"/>
    <n v="0"/>
    <n v="66.900000000000006"/>
  </r>
  <r>
    <x v="880"/>
    <d v="2025-04-27T00:00:00"/>
    <x v="1"/>
    <s v="South"/>
    <s v="Desktop"/>
    <s v="Social"/>
    <s v="Basic"/>
    <n v="1"/>
    <n v="1"/>
    <n v="1"/>
    <n v="0"/>
    <n v="0"/>
    <n v="0"/>
    <n v="0"/>
    <n v="0"/>
    <n v="58.3"/>
  </r>
  <r>
    <x v="881"/>
    <d v="2025-03-19T00:00:00"/>
    <x v="1"/>
    <s v="East"/>
    <s v="Mobile"/>
    <s v="Paid Search"/>
    <s v="Free"/>
    <n v="1"/>
    <n v="0"/>
    <n v="0"/>
    <n v="0"/>
    <n v="0"/>
    <n v="0"/>
    <n v="0"/>
    <n v="0"/>
    <n v="45"/>
  </r>
  <r>
    <x v="882"/>
    <d v="2025-05-20T00:00:00"/>
    <x v="1"/>
    <s v="South"/>
    <s v="Mobile"/>
    <s v="Organic"/>
    <s v="Premium"/>
    <n v="0"/>
    <n v="0"/>
    <n v="0"/>
    <n v="0"/>
    <n v="0"/>
    <n v="0"/>
    <n v="0"/>
    <n v="0"/>
    <n v="60.8"/>
  </r>
  <r>
    <x v="883"/>
    <d v="2025-05-10T00:00:00"/>
    <x v="1"/>
    <s v="North"/>
    <s v="Mobile"/>
    <s v="Email"/>
    <s v="Premium"/>
    <n v="1"/>
    <n v="0"/>
    <n v="0"/>
    <n v="0"/>
    <n v="0"/>
    <n v="4"/>
    <n v="0"/>
    <n v="0"/>
    <n v="53.7"/>
  </r>
  <r>
    <x v="884"/>
    <d v="2025-03-29T00:00:00"/>
    <x v="1"/>
    <s v="East"/>
    <s v="Mobile"/>
    <s v="Social"/>
    <s v="Free"/>
    <n v="1"/>
    <n v="1"/>
    <n v="1"/>
    <n v="0"/>
    <n v="0"/>
    <n v="0"/>
    <n v="0"/>
    <n v="0"/>
    <n v="48.8"/>
  </r>
  <r>
    <x v="885"/>
    <d v="2025-04-03T00:00:00"/>
    <x v="1"/>
    <s v="West"/>
    <s v="Desktop"/>
    <s v="Referral"/>
    <s v="Basic"/>
    <n v="0"/>
    <n v="0"/>
    <n v="0"/>
    <n v="0"/>
    <n v="0"/>
    <n v="0"/>
    <n v="0"/>
    <n v="0"/>
    <n v="52.9"/>
  </r>
  <r>
    <x v="886"/>
    <d v="2025-05-30T00:00:00"/>
    <x v="1"/>
    <s v="South"/>
    <s v="Mobile"/>
    <s v="Email"/>
    <s v="Free"/>
    <n v="1"/>
    <n v="0"/>
    <n v="0"/>
    <n v="0"/>
    <n v="0"/>
    <n v="0"/>
    <n v="0"/>
    <n v="0"/>
    <n v="42.4"/>
  </r>
  <r>
    <x v="887"/>
    <d v="2025-04-06T00:00:00"/>
    <x v="1"/>
    <s v="East"/>
    <s v="Desktop"/>
    <s v="Email"/>
    <s v="Free"/>
    <n v="1"/>
    <n v="0"/>
    <n v="0"/>
    <n v="0"/>
    <n v="0"/>
    <n v="0"/>
    <n v="0"/>
    <n v="0"/>
    <n v="58.7"/>
  </r>
  <r>
    <x v="888"/>
    <d v="2025-03-14T00:00:00"/>
    <x v="1"/>
    <s v="North"/>
    <s v="Mobile"/>
    <s v="Referral"/>
    <s v="Free"/>
    <n v="1"/>
    <n v="1"/>
    <n v="1"/>
    <n v="1"/>
    <n v="2064.5500000000002"/>
    <n v="0"/>
    <n v="0"/>
    <n v="1"/>
    <n v="67.8"/>
  </r>
  <r>
    <x v="889"/>
    <d v="2025-02-24T00:00:00"/>
    <x v="1"/>
    <s v="South"/>
    <s v="Desktop"/>
    <s v="Paid Search"/>
    <s v="Basic"/>
    <n v="1"/>
    <n v="0"/>
    <n v="0"/>
    <n v="0"/>
    <n v="0"/>
    <n v="0"/>
    <n v="0"/>
    <n v="0"/>
    <n v="62.6"/>
  </r>
  <r>
    <x v="890"/>
    <d v="2025-03-04T00:00:00"/>
    <x v="1"/>
    <s v="West"/>
    <s v="Mobile"/>
    <s v="Email"/>
    <s v="Basic"/>
    <n v="1"/>
    <n v="0"/>
    <n v="0"/>
    <n v="0"/>
    <n v="0"/>
    <n v="0"/>
    <n v="0"/>
    <n v="0"/>
    <n v="82.4"/>
  </r>
  <r>
    <x v="891"/>
    <d v="2025-04-02T00:00:00"/>
    <x v="1"/>
    <s v="North"/>
    <s v="Mobile"/>
    <s v="Organic"/>
    <s v="Free"/>
    <n v="1"/>
    <n v="1"/>
    <n v="1"/>
    <n v="0"/>
    <n v="0"/>
    <n v="0"/>
    <n v="0"/>
    <n v="0"/>
    <n v="50.4"/>
  </r>
  <r>
    <x v="892"/>
    <d v="2025-05-11T00:00:00"/>
    <x v="1"/>
    <s v="North"/>
    <s v="Mobile"/>
    <s v="Email"/>
    <s v="Premium"/>
    <n v="0"/>
    <n v="0"/>
    <n v="0"/>
    <n v="0"/>
    <n v="0"/>
    <n v="0"/>
    <n v="0"/>
    <n v="0"/>
    <n v="68.400000000000006"/>
  </r>
  <r>
    <x v="893"/>
    <d v="2025-05-10T00:00:00"/>
    <x v="1"/>
    <s v="West"/>
    <s v="Tablet"/>
    <s v="Paid Search"/>
    <s v="Basic"/>
    <n v="1"/>
    <n v="1"/>
    <n v="1"/>
    <n v="0"/>
    <n v="0"/>
    <n v="0"/>
    <n v="0"/>
    <n v="0"/>
    <n v="58.8"/>
  </r>
  <r>
    <x v="894"/>
    <d v="2025-05-06T00:00:00"/>
    <x v="1"/>
    <s v="West"/>
    <s v="Mobile"/>
    <s v="Referral"/>
    <s v="Free"/>
    <n v="1"/>
    <n v="1"/>
    <n v="0"/>
    <n v="0"/>
    <n v="0"/>
    <n v="2"/>
    <n v="0"/>
    <n v="0"/>
    <n v="28.3"/>
  </r>
  <r>
    <x v="895"/>
    <d v="2025-02-11T00:00:00"/>
    <x v="1"/>
    <s v="West"/>
    <s v="Desktop"/>
    <s v="Paid Search"/>
    <s v="Free"/>
    <n v="1"/>
    <n v="1"/>
    <n v="0"/>
    <n v="0"/>
    <n v="0"/>
    <n v="0"/>
    <n v="0"/>
    <n v="0"/>
    <n v="44.1"/>
  </r>
  <r>
    <x v="896"/>
    <d v="2025-05-09T00:00:00"/>
    <x v="1"/>
    <s v="South"/>
    <s v="Mobile"/>
    <s v="Paid Search"/>
    <s v="Premium"/>
    <n v="1"/>
    <n v="1"/>
    <n v="0"/>
    <n v="0"/>
    <n v="0"/>
    <n v="0"/>
    <n v="0"/>
    <n v="0"/>
    <n v="66.7"/>
  </r>
  <r>
    <x v="897"/>
    <d v="2025-02-02T00:00:00"/>
    <x v="1"/>
    <s v="South"/>
    <s v="Mobile"/>
    <s v="Unknown"/>
    <s v="Free"/>
    <n v="1"/>
    <n v="0"/>
    <n v="0"/>
    <n v="0"/>
    <n v="0"/>
    <n v="0"/>
    <n v="0"/>
    <n v="0"/>
    <n v="100"/>
  </r>
  <r>
    <x v="898"/>
    <d v="2025-04-03T00:00:00"/>
    <x v="1"/>
    <s v="South"/>
    <s v="Mobile"/>
    <s v="Social"/>
    <s v="Free"/>
    <n v="1"/>
    <n v="1"/>
    <n v="0"/>
    <n v="0"/>
    <n v="0"/>
    <n v="0"/>
    <n v="0"/>
    <n v="0"/>
    <n v="87.5"/>
  </r>
  <r>
    <x v="899"/>
    <d v="2025-02-15T00:00:00"/>
    <x v="1"/>
    <s v="North"/>
    <s v="Desktop"/>
    <s v="Organic"/>
    <s v="Basic"/>
    <n v="1"/>
    <n v="0"/>
    <n v="0"/>
    <n v="0"/>
    <n v="0"/>
    <n v="2"/>
    <n v="0"/>
    <n v="0"/>
    <n v="65.400000000000006"/>
  </r>
  <r>
    <x v="900"/>
    <d v="2025-04-18T00:00:00"/>
    <x v="1"/>
    <s v="South"/>
    <s v="Desktop"/>
    <s v="Organic"/>
    <s v="Free"/>
    <n v="1"/>
    <n v="0"/>
    <n v="0"/>
    <n v="0"/>
    <n v="0"/>
    <n v="0"/>
    <n v="0"/>
    <n v="0"/>
    <n v="22.9"/>
  </r>
  <r>
    <x v="901"/>
    <d v="2025-03-14T00:00:00"/>
    <x v="1"/>
    <s v="West"/>
    <s v="Desktop"/>
    <s v="Organic"/>
    <s v="Premium"/>
    <n v="0"/>
    <n v="0"/>
    <n v="0"/>
    <n v="0"/>
    <n v="0"/>
    <n v="0"/>
    <n v="0"/>
    <n v="0"/>
    <n v="64.599999999999994"/>
  </r>
  <r>
    <x v="902"/>
    <d v="2025-03-29T00:00:00"/>
    <x v="1"/>
    <s v="South"/>
    <s v="Mobile"/>
    <s v="Referral"/>
    <s v="Free"/>
    <n v="1"/>
    <n v="0"/>
    <n v="0"/>
    <n v="0"/>
    <n v="0"/>
    <n v="2"/>
    <n v="0"/>
    <n v="0"/>
    <n v="54.4"/>
  </r>
  <r>
    <x v="903"/>
    <d v="2025-02-13T00:00:00"/>
    <x v="1"/>
    <s v="North"/>
    <s v="Desktop"/>
    <s v="Organic"/>
    <s v="Free"/>
    <n v="1"/>
    <n v="1"/>
    <n v="1"/>
    <n v="0"/>
    <n v="0"/>
    <n v="0"/>
    <n v="0"/>
    <n v="0"/>
    <n v="56.8"/>
  </r>
  <r>
    <x v="904"/>
    <d v="2025-01-23T00:00:00"/>
    <x v="1"/>
    <s v="South"/>
    <s v="Mobile"/>
    <s v="Paid Search"/>
    <s v="Free"/>
    <n v="1"/>
    <n v="1"/>
    <n v="1"/>
    <n v="1"/>
    <n v="341.38"/>
    <n v="0"/>
    <n v="0"/>
    <n v="2"/>
    <n v="63.6"/>
  </r>
  <r>
    <x v="905"/>
    <d v="2025-02-24T00:00:00"/>
    <x v="1"/>
    <s v="East"/>
    <s v="Mobile"/>
    <s v="Social"/>
    <s v="Free"/>
    <n v="1"/>
    <n v="0"/>
    <n v="0"/>
    <n v="0"/>
    <n v="0"/>
    <n v="0"/>
    <n v="0"/>
    <n v="0"/>
    <n v="58.2"/>
  </r>
  <r>
    <x v="906"/>
    <d v="2025-02-28T00:00:00"/>
    <x v="1"/>
    <s v="West"/>
    <s v="Mobile"/>
    <s v="Paid Search"/>
    <s v="Free"/>
    <n v="1"/>
    <n v="1"/>
    <n v="0"/>
    <n v="0"/>
    <n v="0"/>
    <n v="0"/>
    <n v="0"/>
    <n v="0"/>
    <n v="54.6"/>
  </r>
  <r>
    <x v="907"/>
    <d v="2025-01-07T00:00:00"/>
    <x v="1"/>
    <s v="West"/>
    <s v="Tablet"/>
    <s v="Organic"/>
    <s v="Basic"/>
    <n v="1"/>
    <n v="0"/>
    <n v="0"/>
    <n v="0"/>
    <n v="0"/>
    <n v="0"/>
    <n v="0"/>
    <n v="0"/>
    <n v="81.900000000000006"/>
  </r>
  <r>
    <x v="908"/>
    <d v="2025-03-21T00:00:00"/>
    <x v="1"/>
    <s v="West"/>
    <s v="Desktop"/>
    <s v="Email"/>
    <s v="Free"/>
    <n v="1"/>
    <n v="0"/>
    <n v="0"/>
    <n v="0"/>
    <n v="0"/>
    <n v="3"/>
    <n v="0"/>
    <n v="0"/>
    <n v="53.3"/>
  </r>
  <r>
    <x v="909"/>
    <d v="2025-02-18T00:00:00"/>
    <x v="1"/>
    <s v="North"/>
    <s v="Desktop"/>
    <s v="Organic"/>
    <s v="Basic"/>
    <n v="0"/>
    <n v="0"/>
    <n v="0"/>
    <n v="0"/>
    <n v="0"/>
    <n v="0"/>
    <n v="0"/>
    <n v="0"/>
    <n v="54.2"/>
  </r>
  <r>
    <x v="910"/>
    <d v="2025-01-05T00:00:00"/>
    <x v="1"/>
    <s v="North"/>
    <s v="Mobile"/>
    <s v="Paid Search"/>
    <s v="Free"/>
    <n v="1"/>
    <n v="1"/>
    <n v="0"/>
    <n v="0"/>
    <n v="0"/>
    <n v="0"/>
    <n v="0"/>
    <n v="0"/>
    <n v="65.599999999999994"/>
  </r>
  <r>
    <x v="911"/>
    <d v="2025-03-11T00:00:00"/>
    <x v="1"/>
    <s v="East"/>
    <s v="Desktop"/>
    <s v="Organic"/>
    <s v="Basic"/>
    <n v="1"/>
    <n v="0"/>
    <n v="0"/>
    <n v="0"/>
    <n v="0"/>
    <n v="1"/>
    <n v="0"/>
    <n v="0"/>
    <n v="56.5"/>
  </r>
  <r>
    <x v="912"/>
    <d v="2025-01-09T00:00:00"/>
    <x v="1"/>
    <s v="North"/>
    <s v="Desktop"/>
    <s v="Organic"/>
    <s v="Basic"/>
    <n v="1"/>
    <n v="0"/>
    <n v="0"/>
    <n v="0"/>
    <n v="0"/>
    <n v="0"/>
    <n v="0"/>
    <n v="0"/>
    <n v="59.7"/>
  </r>
  <r>
    <x v="913"/>
    <d v="2025-01-08T00:00:00"/>
    <x v="1"/>
    <s v="South"/>
    <s v="Mobile"/>
    <s v="Organic"/>
    <s v="Free"/>
    <n v="1"/>
    <n v="1"/>
    <n v="1"/>
    <n v="0"/>
    <n v="0"/>
    <n v="0"/>
    <n v="0"/>
    <n v="0"/>
    <n v="72.5"/>
  </r>
  <r>
    <x v="914"/>
    <d v="2025-05-01T00:00:00"/>
    <x v="1"/>
    <s v="East"/>
    <s v="Desktop"/>
    <s v="Paid Search"/>
    <s v="Free"/>
    <n v="1"/>
    <n v="0"/>
    <n v="0"/>
    <n v="0"/>
    <n v="0"/>
    <n v="0"/>
    <n v="0"/>
    <n v="0"/>
    <n v="64.3"/>
  </r>
  <r>
    <x v="915"/>
    <d v="2025-03-03T00:00:00"/>
    <x v="1"/>
    <s v="South"/>
    <s v="Mobile"/>
    <s v="Social"/>
    <s v="Free"/>
    <n v="1"/>
    <n v="0"/>
    <n v="0"/>
    <n v="0"/>
    <n v="0"/>
    <n v="0"/>
    <n v="0"/>
    <n v="0"/>
    <n v="64.5"/>
  </r>
  <r>
    <x v="916"/>
    <d v="2025-02-23T00:00:00"/>
    <x v="1"/>
    <s v="West"/>
    <s v="Desktop"/>
    <s v="Social"/>
    <s v="Basic"/>
    <n v="1"/>
    <n v="1"/>
    <n v="1"/>
    <n v="0"/>
    <n v="0"/>
    <n v="0"/>
    <n v="0"/>
    <n v="0"/>
    <n v="70.599999999999994"/>
  </r>
  <r>
    <x v="917"/>
    <d v="2025-02-17T00:00:00"/>
    <x v="1"/>
    <s v="South"/>
    <s v="Desktop"/>
    <s v="Organic"/>
    <s v="Basic"/>
    <n v="0"/>
    <n v="0"/>
    <n v="0"/>
    <n v="0"/>
    <n v="0"/>
    <n v="0"/>
    <n v="0"/>
    <n v="0"/>
    <n v="58.4"/>
  </r>
  <r>
    <x v="918"/>
    <d v="2025-05-21T00:00:00"/>
    <x v="1"/>
    <s v="East"/>
    <s v="Mobile"/>
    <s v="Organic"/>
    <s v="Basic"/>
    <n v="1"/>
    <n v="0"/>
    <n v="0"/>
    <n v="0"/>
    <n v="0"/>
    <n v="0"/>
    <n v="0"/>
    <n v="0"/>
    <n v="56.6"/>
  </r>
  <r>
    <x v="919"/>
    <d v="2025-01-30T00:00:00"/>
    <x v="1"/>
    <s v="South"/>
    <s v="Mobile"/>
    <s v="Organic"/>
    <s v="Free"/>
    <n v="1"/>
    <n v="0"/>
    <n v="0"/>
    <n v="0"/>
    <n v="0"/>
    <n v="0"/>
    <n v="0"/>
    <n v="0"/>
    <n v="61.8"/>
  </r>
  <r>
    <x v="920"/>
    <d v="2025-03-20T00:00:00"/>
    <x v="1"/>
    <s v="West"/>
    <s v="Mobile"/>
    <s v="Email"/>
    <s v="Free"/>
    <n v="1"/>
    <n v="1"/>
    <n v="1"/>
    <n v="1"/>
    <n v="513.52"/>
    <n v="0"/>
    <n v="0"/>
    <n v="8"/>
    <n v="43.4"/>
  </r>
  <r>
    <x v="921"/>
    <d v="2025-04-10T00:00:00"/>
    <x v="1"/>
    <s v="West"/>
    <s v="Tablet"/>
    <s v="Paid Search"/>
    <s v="Free"/>
    <n v="0"/>
    <n v="0"/>
    <n v="0"/>
    <n v="0"/>
    <n v="0"/>
    <n v="0"/>
    <n v="0"/>
    <n v="0"/>
    <n v="43"/>
  </r>
  <r>
    <x v="922"/>
    <d v="2025-03-07T00:00:00"/>
    <x v="1"/>
    <s v="North"/>
    <s v="Desktop"/>
    <s v="Organic"/>
    <s v="Free"/>
    <n v="1"/>
    <n v="1"/>
    <n v="1"/>
    <n v="0"/>
    <n v="0"/>
    <n v="0"/>
    <n v="0"/>
    <n v="0"/>
    <n v="51.1"/>
  </r>
  <r>
    <x v="923"/>
    <d v="2025-03-12T00:00:00"/>
    <x v="1"/>
    <s v="West"/>
    <s v="Mobile"/>
    <s v="Email"/>
    <s v="Basic"/>
    <n v="1"/>
    <n v="0"/>
    <n v="0"/>
    <n v="0"/>
    <n v="0"/>
    <n v="0"/>
    <n v="0"/>
    <n v="0"/>
    <n v="48.8"/>
  </r>
  <r>
    <x v="924"/>
    <d v="2025-02-24T00:00:00"/>
    <x v="1"/>
    <s v="East"/>
    <s v="Mobile"/>
    <s v="Referral"/>
    <s v="Free"/>
    <n v="0"/>
    <n v="0"/>
    <n v="0"/>
    <n v="0"/>
    <n v="0"/>
    <n v="0"/>
    <n v="0"/>
    <n v="0"/>
    <n v="73.2"/>
  </r>
  <r>
    <x v="925"/>
    <d v="2025-01-15T00:00:00"/>
    <x v="1"/>
    <s v="East"/>
    <s v="Mobile"/>
    <s v="Referral"/>
    <s v="Free"/>
    <n v="1"/>
    <n v="1"/>
    <n v="1"/>
    <n v="0"/>
    <n v="0"/>
    <n v="0"/>
    <n v="0"/>
    <n v="0"/>
    <n v="80"/>
  </r>
  <r>
    <x v="926"/>
    <d v="2025-01-07T00:00:00"/>
    <x v="1"/>
    <s v="North"/>
    <s v="Desktop"/>
    <s v="Paid Search"/>
    <s v="Free"/>
    <n v="1"/>
    <n v="0"/>
    <n v="0"/>
    <n v="0"/>
    <n v="0"/>
    <n v="0"/>
    <n v="0"/>
    <n v="0"/>
    <n v="52.3"/>
  </r>
  <r>
    <x v="927"/>
    <d v="2025-03-02T00:00:00"/>
    <x v="1"/>
    <s v="North"/>
    <s v="Desktop"/>
    <s v="Organic"/>
    <s v="Free"/>
    <n v="0"/>
    <n v="0"/>
    <n v="0"/>
    <n v="0"/>
    <n v="0"/>
    <n v="0"/>
    <n v="0"/>
    <n v="0"/>
    <n v="49.1"/>
  </r>
  <r>
    <x v="928"/>
    <d v="2025-01-05T00:00:00"/>
    <x v="1"/>
    <s v="South"/>
    <s v="Desktop"/>
    <s v="Referral"/>
    <s v="Basic"/>
    <n v="0"/>
    <n v="0"/>
    <n v="0"/>
    <n v="0"/>
    <n v="0"/>
    <n v="0"/>
    <n v="0"/>
    <n v="0"/>
    <n v="45.3"/>
  </r>
  <r>
    <x v="929"/>
    <d v="2025-03-03T00:00:00"/>
    <x v="1"/>
    <s v="South"/>
    <s v="Mobile"/>
    <s v="Organic"/>
    <s v="Free"/>
    <n v="1"/>
    <n v="1"/>
    <n v="0"/>
    <n v="0"/>
    <n v="0"/>
    <n v="0"/>
    <n v="0"/>
    <n v="0"/>
    <n v="49.1"/>
  </r>
  <r>
    <x v="930"/>
    <d v="2025-03-31T00:00:00"/>
    <x v="1"/>
    <s v="East"/>
    <s v="Desktop"/>
    <s v="Referral"/>
    <s v="Free"/>
    <n v="1"/>
    <n v="1"/>
    <n v="1"/>
    <n v="1"/>
    <n v="476.44"/>
    <n v="0"/>
    <n v="0"/>
    <n v="3"/>
    <n v="88.6"/>
  </r>
  <r>
    <x v="931"/>
    <d v="2025-01-14T00:00:00"/>
    <x v="1"/>
    <s v="East"/>
    <s v="Desktop"/>
    <s v="Paid Search"/>
    <s v="Premium"/>
    <n v="0"/>
    <n v="0"/>
    <n v="0"/>
    <n v="0"/>
    <n v="0"/>
    <n v="1"/>
    <n v="0"/>
    <n v="0"/>
    <n v="54.4"/>
  </r>
  <r>
    <x v="932"/>
    <d v="2025-01-15T00:00:00"/>
    <x v="1"/>
    <s v="West"/>
    <s v="Desktop"/>
    <s v="Paid Search"/>
    <s v="Premium"/>
    <n v="1"/>
    <n v="0"/>
    <n v="0"/>
    <n v="0"/>
    <n v="0"/>
    <n v="0"/>
    <n v="0"/>
    <n v="0"/>
    <n v="72.900000000000006"/>
  </r>
  <r>
    <x v="933"/>
    <d v="2025-04-25T00:00:00"/>
    <x v="1"/>
    <s v="West"/>
    <s v="Desktop"/>
    <s v="Organic"/>
    <s v="Free"/>
    <n v="1"/>
    <n v="0"/>
    <n v="0"/>
    <n v="0"/>
    <n v="0"/>
    <n v="0"/>
    <n v="0"/>
    <n v="0"/>
    <n v="53.2"/>
  </r>
  <r>
    <x v="934"/>
    <d v="2025-03-21T00:00:00"/>
    <x v="1"/>
    <s v="East"/>
    <s v="Mobile"/>
    <s v="Organic"/>
    <s v="Basic"/>
    <n v="1"/>
    <n v="1"/>
    <n v="0"/>
    <n v="0"/>
    <n v="0"/>
    <n v="0"/>
    <n v="0"/>
    <n v="0"/>
    <n v="48.7"/>
  </r>
  <r>
    <x v="935"/>
    <d v="2025-04-26T00:00:00"/>
    <x v="1"/>
    <s v="South"/>
    <s v="Mobile"/>
    <s v="Paid Search"/>
    <s v="Basic"/>
    <n v="1"/>
    <n v="1"/>
    <n v="1"/>
    <n v="0"/>
    <n v="0"/>
    <n v="0"/>
    <n v="0"/>
    <n v="0"/>
    <n v="59.9"/>
  </r>
  <r>
    <x v="936"/>
    <d v="2025-05-21T00:00:00"/>
    <x v="1"/>
    <s v="South"/>
    <s v="Desktop"/>
    <s v="Unknown"/>
    <s v="Basic"/>
    <n v="0"/>
    <n v="0"/>
    <n v="0"/>
    <n v="0"/>
    <n v="0"/>
    <n v="0"/>
    <n v="0"/>
    <n v="0"/>
    <n v="82"/>
  </r>
  <r>
    <x v="937"/>
    <d v="2025-04-18T00:00:00"/>
    <x v="1"/>
    <s v="East"/>
    <s v="Mobile"/>
    <s v="Paid Search"/>
    <s v="Free"/>
    <n v="0"/>
    <n v="0"/>
    <n v="0"/>
    <n v="0"/>
    <n v="0"/>
    <n v="0"/>
    <n v="0"/>
    <n v="0"/>
    <n v="72.099999999999994"/>
  </r>
  <r>
    <x v="938"/>
    <d v="2025-01-29T00:00:00"/>
    <x v="1"/>
    <s v="North"/>
    <s v="Desktop"/>
    <s v="Email"/>
    <s v="Premium"/>
    <n v="1"/>
    <n v="1"/>
    <n v="0"/>
    <n v="0"/>
    <n v="0"/>
    <n v="0"/>
    <n v="0"/>
    <n v="0"/>
    <n v="68.3"/>
  </r>
  <r>
    <x v="939"/>
    <d v="2025-05-28T00:00:00"/>
    <x v="1"/>
    <s v="West"/>
    <s v="Mobile"/>
    <s v="Organic"/>
    <s v="Premium"/>
    <n v="0"/>
    <n v="0"/>
    <n v="0"/>
    <n v="0"/>
    <n v="0"/>
    <n v="0"/>
    <n v="0"/>
    <n v="0"/>
    <n v="100"/>
  </r>
  <r>
    <x v="940"/>
    <d v="2025-01-15T00:00:00"/>
    <x v="1"/>
    <s v="East"/>
    <s v="Mobile"/>
    <s v="Email"/>
    <s v="Free"/>
    <n v="1"/>
    <n v="1"/>
    <n v="1"/>
    <n v="0"/>
    <n v="0"/>
    <n v="2"/>
    <n v="0"/>
    <n v="0"/>
    <n v="76.5"/>
  </r>
  <r>
    <x v="941"/>
    <d v="2025-01-03T00:00:00"/>
    <x v="1"/>
    <s v="South"/>
    <s v="Mobile"/>
    <s v="Organic"/>
    <s v="Basic"/>
    <n v="1"/>
    <n v="1"/>
    <n v="0"/>
    <n v="0"/>
    <n v="0"/>
    <n v="0"/>
    <n v="0"/>
    <n v="0"/>
    <n v="62"/>
  </r>
  <r>
    <x v="942"/>
    <d v="2025-02-04T00:00:00"/>
    <x v="1"/>
    <s v="South"/>
    <s v="Mobile"/>
    <s v="Paid Search"/>
    <s v="Free"/>
    <n v="1"/>
    <n v="1"/>
    <n v="1"/>
    <n v="1"/>
    <n v="324.68"/>
    <n v="1"/>
    <n v="0"/>
    <n v="7"/>
    <n v="50.1"/>
  </r>
  <r>
    <x v="943"/>
    <d v="2025-02-22T00:00:00"/>
    <x v="1"/>
    <s v="South"/>
    <s v="Mobile"/>
    <s v="Referral"/>
    <s v="Premium"/>
    <n v="1"/>
    <n v="0"/>
    <n v="0"/>
    <n v="0"/>
    <n v="0"/>
    <n v="0"/>
    <n v="0"/>
    <n v="0"/>
    <n v="62.1"/>
  </r>
  <r>
    <x v="944"/>
    <d v="2025-05-06T00:00:00"/>
    <x v="1"/>
    <s v="West"/>
    <s v="Mobile"/>
    <s v="Organic"/>
    <s v="Basic"/>
    <n v="1"/>
    <n v="0"/>
    <n v="0"/>
    <n v="0"/>
    <n v="0"/>
    <n v="0"/>
    <n v="0"/>
    <n v="0"/>
    <n v="49.7"/>
  </r>
  <r>
    <x v="945"/>
    <d v="2025-01-31T00:00:00"/>
    <x v="1"/>
    <s v="South"/>
    <s v="Mobile"/>
    <s v="Organic"/>
    <s v="Free"/>
    <n v="1"/>
    <n v="0"/>
    <n v="0"/>
    <n v="0"/>
    <n v="0"/>
    <n v="3"/>
    <n v="0"/>
    <n v="0"/>
    <n v="71.099999999999994"/>
  </r>
  <r>
    <x v="946"/>
    <d v="2025-02-18T00:00:00"/>
    <x v="1"/>
    <s v="North"/>
    <s v="Mobile"/>
    <s v="Social"/>
    <s v="Basic"/>
    <n v="0"/>
    <n v="0"/>
    <n v="0"/>
    <n v="0"/>
    <n v="0"/>
    <n v="0"/>
    <n v="0"/>
    <n v="0"/>
    <n v="70.8"/>
  </r>
  <r>
    <x v="947"/>
    <d v="2025-04-23T00:00:00"/>
    <x v="1"/>
    <s v="East"/>
    <s v="Mobile"/>
    <s v="Paid Search"/>
    <s v="Free"/>
    <n v="1"/>
    <n v="1"/>
    <n v="1"/>
    <n v="1"/>
    <n v="301.98"/>
    <n v="0"/>
    <n v="0"/>
    <n v="10"/>
    <n v="52.2"/>
  </r>
  <r>
    <x v="948"/>
    <d v="2025-02-06T00:00:00"/>
    <x v="1"/>
    <s v="North"/>
    <s v="Mobile"/>
    <s v="Organic"/>
    <s v="Free"/>
    <n v="1"/>
    <n v="1"/>
    <n v="1"/>
    <n v="0"/>
    <n v="0"/>
    <n v="0"/>
    <n v="0"/>
    <n v="0"/>
    <n v="73"/>
  </r>
  <r>
    <x v="949"/>
    <d v="2025-04-26T00:00:00"/>
    <x v="1"/>
    <s v="South"/>
    <s v="Desktop"/>
    <s v="Paid Search"/>
    <s v="Free"/>
    <n v="0"/>
    <n v="0"/>
    <n v="0"/>
    <n v="0"/>
    <n v="0"/>
    <n v="0"/>
    <n v="0"/>
    <n v="0"/>
    <n v="78.2"/>
  </r>
  <r>
    <x v="950"/>
    <d v="2025-03-30T00:00:00"/>
    <x v="1"/>
    <s v="West"/>
    <s v="Desktop"/>
    <s v="Paid Search"/>
    <s v="Basic"/>
    <n v="1"/>
    <n v="0"/>
    <n v="0"/>
    <n v="0"/>
    <n v="0"/>
    <n v="0"/>
    <n v="0"/>
    <n v="0"/>
    <n v="68.8"/>
  </r>
  <r>
    <x v="951"/>
    <d v="2025-04-13T00:00:00"/>
    <x v="1"/>
    <s v="West"/>
    <s v="Mobile"/>
    <s v="Unknown"/>
    <s v="Premium"/>
    <n v="1"/>
    <n v="0"/>
    <n v="0"/>
    <n v="0"/>
    <n v="0"/>
    <n v="0"/>
    <n v="0"/>
    <n v="0"/>
    <n v="57.1"/>
  </r>
  <r>
    <x v="952"/>
    <d v="2025-04-04T00:00:00"/>
    <x v="1"/>
    <s v="East"/>
    <s v="Desktop"/>
    <s v="Organic"/>
    <s v="Premium"/>
    <n v="0"/>
    <n v="0"/>
    <n v="0"/>
    <n v="0"/>
    <n v="0"/>
    <n v="1"/>
    <n v="0"/>
    <n v="0"/>
    <n v="74.599999999999994"/>
  </r>
  <r>
    <x v="953"/>
    <d v="2025-04-03T00:00:00"/>
    <x v="1"/>
    <s v="North"/>
    <s v="Desktop"/>
    <s v="Referral"/>
    <s v="Free"/>
    <n v="1"/>
    <n v="0"/>
    <n v="0"/>
    <n v="0"/>
    <n v="0"/>
    <n v="1"/>
    <n v="0"/>
    <n v="0"/>
    <n v="64.099999999999994"/>
  </r>
  <r>
    <x v="954"/>
    <d v="2025-03-14T00:00:00"/>
    <x v="1"/>
    <s v="West"/>
    <s v="Mobile"/>
    <s v="Paid Search"/>
    <s v="Premium"/>
    <n v="1"/>
    <n v="0"/>
    <n v="0"/>
    <n v="0"/>
    <n v="0"/>
    <n v="0"/>
    <n v="0"/>
    <n v="0"/>
    <n v="67.3"/>
  </r>
  <r>
    <x v="955"/>
    <d v="2025-01-14T00:00:00"/>
    <x v="1"/>
    <s v="West"/>
    <s v="Mobile"/>
    <s v="Referral"/>
    <s v="Free"/>
    <n v="0"/>
    <n v="0"/>
    <n v="0"/>
    <n v="0"/>
    <n v="0"/>
    <n v="2"/>
    <n v="0"/>
    <n v="0"/>
    <n v="41"/>
  </r>
  <r>
    <x v="956"/>
    <d v="2025-05-05T00:00:00"/>
    <x v="1"/>
    <s v="West"/>
    <s v="Mobile"/>
    <s v="Paid Search"/>
    <s v="Free"/>
    <n v="0"/>
    <n v="0"/>
    <n v="0"/>
    <n v="0"/>
    <n v="0"/>
    <n v="0"/>
    <n v="0"/>
    <n v="0"/>
    <n v="48.1"/>
  </r>
  <r>
    <x v="957"/>
    <d v="2025-05-02T00:00:00"/>
    <x v="1"/>
    <s v="West"/>
    <s v="Desktop"/>
    <s v="Social"/>
    <s v="Free"/>
    <n v="0"/>
    <n v="0"/>
    <n v="0"/>
    <n v="0"/>
    <n v="0"/>
    <n v="1"/>
    <n v="0"/>
    <n v="0"/>
    <n v="60.8"/>
  </r>
  <r>
    <x v="958"/>
    <d v="2025-05-21T00:00:00"/>
    <x v="1"/>
    <s v="East"/>
    <s v="Mobile"/>
    <s v="Organic"/>
    <s v="Free"/>
    <n v="1"/>
    <n v="0"/>
    <n v="0"/>
    <n v="0"/>
    <n v="0"/>
    <n v="0"/>
    <n v="0"/>
    <n v="0"/>
    <n v="63.1"/>
  </r>
  <r>
    <x v="959"/>
    <d v="2025-05-16T00:00:00"/>
    <x v="1"/>
    <s v="North"/>
    <s v="Mobile"/>
    <s v="Referral"/>
    <s v="Premium"/>
    <n v="1"/>
    <n v="0"/>
    <n v="0"/>
    <n v="0"/>
    <n v="0"/>
    <n v="2"/>
    <n v="0"/>
    <n v="0"/>
    <n v="49.7"/>
  </r>
  <r>
    <x v="960"/>
    <d v="2025-05-24T00:00:00"/>
    <x v="1"/>
    <s v="East"/>
    <s v="Desktop"/>
    <s v="Organic"/>
    <s v="Premium"/>
    <n v="1"/>
    <n v="1"/>
    <n v="1"/>
    <n v="0"/>
    <n v="0"/>
    <n v="1"/>
    <n v="0"/>
    <n v="0"/>
    <n v="83.4"/>
  </r>
  <r>
    <x v="961"/>
    <d v="2025-03-18T00:00:00"/>
    <x v="1"/>
    <s v="East"/>
    <s v="Mobile"/>
    <s v="Organic"/>
    <s v="Basic"/>
    <n v="1"/>
    <n v="0"/>
    <n v="0"/>
    <n v="0"/>
    <n v="0"/>
    <n v="0"/>
    <n v="0"/>
    <n v="0"/>
    <n v="75.900000000000006"/>
  </r>
  <r>
    <x v="962"/>
    <d v="2025-01-11T00:00:00"/>
    <x v="1"/>
    <s v="East"/>
    <s v="Desktop"/>
    <s v="Paid Search"/>
    <s v="Free"/>
    <n v="0"/>
    <n v="0"/>
    <n v="0"/>
    <n v="0"/>
    <n v="0"/>
    <n v="1"/>
    <n v="0"/>
    <n v="0"/>
    <n v="71.8"/>
  </r>
  <r>
    <x v="963"/>
    <d v="2025-02-09T00:00:00"/>
    <x v="1"/>
    <s v="South"/>
    <s v="Mobile"/>
    <s v="Organic"/>
    <s v="Basic"/>
    <n v="0"/>
    <n v="0"/>
    <n v="0"/>
    <n v="0"/>
    <n v="0"/>
    <n v="0"/>
    <n v="0"/>
    <n v="0"/>
    <n v="37.9"/>
  </r>
  <r>
    <x v="964"/>
    <d v="2025-03-01T00:00:00"/>
    <x v="1"/>
    <s v="North"/>
    <s v="Desktop"/>
    <s v="Social"/>
    <s v="Free"/>
    <n v="1"/>
    <n v="0"/>
    <n v="0"/>
    <n v="0"/>
    <n v="0"/>
    <n v="0"/>
    <n v="0"/>
    <n v="0"/>
    <n v="59.8"/>
  </r>
  <r>
    <x v="965"/>
    <d v="2025-05-07T00:00:00"/>
    <x v="1"/>
    <s v="North"/>
    <s v="Mobile"/>
    <s v="Organic"/>
    <s v="Basic"/>
    <n v="0"/>
    <n v="0"/>
    <n v="0"/>
    <n v="0"/>
    <n v="0"/>
    <n v="0"/>
    <n v="0"/>
    <n v="0"/>
    <n v="66.900000000000006"/>
  </r>
  <r>
    <x v="966"/>
    <d v="2025-02-19T00:00:00"/>
    <x v="1"/>
    <s v="South"/>
    <s v="Desktop"/>
    <s v="Unknown"/>
    <s v="Free"/>
    <n v="1"/>
    <n v="0"/>
    <n v="0"/>
    <n v="0"/>
    <n v="0"/>
    <n v="0"/>
    <n v="0"/>
    <n v="0"/>
    <n v="59"/>
  </r>
  <r>
    <x v="967"/>
    <d v="2025-02-26T00:00:00"/>
    <x v="1"/>
    <s v="West"/>
    <s v="Mobile"/>
    <s v="Organic"/>
    <s v="Premium"/>
    <n v="1"/>
    <n v="0"/>
    <n v="0"/>
    <n v="0"/>
    <n v="0"/>
    <n v="0"/>
    <n v="0"/>
    <n v="0"/>
    <n v="80.099999999999994"/>
  </r>
  <r>
    <x v="968"/>
    <d v="2025-03-23T00:00:00"/>
    <x v="1"/>
    <s v="South"/>
    <s v="Mobile"/>
    <s v="Social"/>
    <s v="Free"/>
    <n v="0"/>
    <n v="0"/>
    <n v="0"/>
    <n v="0"/>
    <n v="0"/>
    <n v="0"/>
    <n v="0"/>
    <n v="0"/>
    <n v="64.3"/>
  </r>
  <r>
    <x v="969"/>
    <d v="2025-04-25T00:00:00"/>
    <x v="1"/>
    <s v="South"/>
    <s v="Desktop"/>
    <s v="Social"/>
    <s v="Free"/>
    <n v="0"/>
    <n v="0"/>
    <n v="0"/>
    <n v="0"/>
    <n v="0"/>
    <n v="1"/>
    <n v="0"/>
    <n v="0"/>
    <n v="57.4"/>
  </r>
  <r>
    <x v="970"/>
    <d v="2025-05-10T00:00:00"/>
    <x v="1"/>
    <s v="North"/>
    <s v="Desktop"/>
    <s v="Social"/>
    <s v="Free"/>
    <n v="1"/>
    <n v="1"/>
    <n v="1"/>
    <n v="0"/>
    <n v="0"/>
    <n v="0"/>
    <n v="0"/>
    <n v="0"/>
    <n v="83.6"/>
  </r>
  <r>
    <x v="971"/>
    <d v="2025-04-22T00:00:00"/>
    <x v="1"/>
    <s v="East"/>
    <s v="Mobile"/>
    <s v="Paid Search"/>
    <s v="Premium"/>
    <n v="0"/>
    <n v="0"/>
    <n v="0"/>
    <n v="0"/>
    <n v="0"/>
    <n v="0"/>
    <n v="0"/>
    <n v="0"/>
    <n v="45.8"/>
  </r>
  <r>
    <x v="972"/>
    <d v="2025-02-18T00:00:00"/>
    <x v="1"/>
    <s v="West"/>
    <s v="Mobile"/>
    <s v="Referral"/>
    <s v="Basic"/>
    <n v="1"/>
    <n v="1"/>
    <n v="1"/>
    <n v="0"/>
    <n v="0"/>
    <n v="0"/>
    <n v="0"/>
    <n v="0"/>
    <n v="64.3"/>
  </r>
  <r>
    <x v="973"/>
    <d v="2025-01-26T00:00:00"/>
    <x v="1"/>
    <s v="South"/>
    <s v="Mobile"/>
    <s v="Paid Search"/>
    <s v="Premium"/>
    <n v="1"/>
    <n v="1"/>
    <n v="1"/>
    <n v="0"/>
    <n v="0"/>
    <n v="0"/>
    <n v="0"/>
    <n v="0"/>
    <n v="80.5"/>
  </r>
  <r>
    <x v="974"/>
    <d v="2025-04-28T00:00:00"/>
    <x v="1"/>
    <s v="North"/>
    <s v="Mobile"/>
    <s v="Organic"/>
    <s v="Free"/>
    <n v="1"/>
    <n v="0"/>
    <n v="0"/>
    <n v="0"/>
    <n v="0"/>
    <n v="0"/>
    <n v="0"/>
    <n v="0"/>
    <n v="46.3"/>
  </r>
  <r>
    <x v="975"/>
    <d v="2025-04-02T00:00:00"/>
    <x v="1"/>
    <s v="South"/>
    <s v="Desktop"/>
    <s v="Email"/>
    <s v="Basic"/>
    <n v="1"/>
    <n v="0"/>
    <n v="0"/>
    <n v="0"/>
    <n v="0"/>
    <n v="0"/>
    <n v="0"/>
    <n v="0"/>
    <n v="71.599999999999994"/>
  </r>
  <r>
    <x v="976"/>
    <d v="2025-04-12T00:00:00"/>
    <x v="1"/>
    <s v="South"/>
    <s v="Desktop"/>
    <s v="Email"/>
    <s v="Premium"/>
    <n v="1"/>
    <n v="1"/>
    <n v="0"/>
    <n v="0"/>
    <n v="0"/>
    <n v="0"/>
    <n v="0"/>
    <n v="0"/>
    <n v="57.8"/>
  </r>
  <r>
    <x v="977"/>
    <d v="2025-01-03T00:00:00"/>
    <x v="1"/>
    <s v="West"/>
    <s v="Desktop"/>
    <s v="Email"/>
    <s v="Basic"/>
    <n v="1"/>
    <n v="1"/>
    <n v="1"/>
    <n v="0"/>
    <n v="0"/>
    <n v="1"/>
    <n v="0"/>
    <n v="0"/>
    <n v="57.8"/>
  </r>
  <r>
    <x v="978"/>
    <d v="2025-05-08T00:00:00"/>
    <x v="1"/>
    <s v="North"/>
    <s v="Mobile"/>
    <s v="Paid Search"/>
    <s v="Free"/>
    <n v="1"/>
    <n v="0"/>
    <n v="0"/>
    <n v="0"/>
    <n v="0"/>
    <n v="0"/>
    <n v="0"/>
    <n v="0"/>
    <n v="38.299999999999997"/>
  </r>
  <r>
    <x v="979"/>
    <d v="2025-02-20T00:00:00"/>
    <x v="1"/>
    <s v="North"/>
    <s v="Mobile"/>
    <s v="Referral"/>
    <s v="Premium"/>
    <n v="1"/>
    <n v="0"/>
    <n v="0"/>
    <n v="0"/>
    <n v="0"/>
    <n v="1"/>
    <n v="0"/>
    <n v="0"/>
    <n v="66.099999999999994"/>
  </r>
  <r>
    <x v="980"/>
    <d v="2025-03-17T00:00:00"/>
    <x v="1"/>
    <s v="North"/>
    <s v="Desktop"/>
    <s v="Paid Search"/>
    <s v="Premium"/>
    <n v="1"/>
    <n v="0"/>
    <n v="0"/>
    <n v="0"/>
    <n v="0"/>
    <n v="0"/>
    <n v="0"/>
    <n v="0"/>
    <n v="66.5"/>
  </r>
  <r>
    <x v="981"/>
    <d v="2025-04-10T00:00:00"/>
    <x v="1"/>
    <s v="South"/>
    <s v="Desktop"/>
    <s v="Email"/>
    <s v="Free"/>
    <n v="1"/>
    <n v="0"/>
    <n v="0"/>
    <n v="0"/>
    <n v="0"/>
    <n v="3"/>
    <n v="0"/>
    <n v="0"/>
    <n v="51.5"/>
  </r>
  <r>
    <x v="982"/>
    <d v="2025-05-08T00:00:00"/>
    <x v="1"/>
    <s v="North"/>
    <s v="Desktop"/>
    <s v="Referral"/>
    <s v="Free"/>
    <n v="1"/>
    <n v="0"/>
    <n v="0"/>
    <n v="0"/>
    <n v="0"/>
    <n v="0"/>
    <n v="0"/>
    <n v="0"/>
    <n v="59.9"/>
  </r>
  <r>
    <x v="983"/>
    <d v="2025-04-19T00:00:00"/>
    <x v="1"/>
    <s v="West"/>
    <s v="Mobile"/>
    <s v="Paid Search"/>
    <s v="Basic"/>
    <n v="1"/>
    <n v="0"/>
    <n v="0"/>
    <n v="0"/>
    <n v="0"/>
    <n v="0"/>
    <n v="0"/>
    <n v="0"/>
    <n v="58.8"/>
  </r>
  <r>
    <x v="984"/>
    <d v="2025-01-01T00:00:00"/>
    <x v="1"/>
    <s v="South"/>
    <s v="Tablet"/>
    <s v="Paid Search"/>
    <s v="Basic"/>
    <n v="1"/>
    <n v="0"/>
    <n v="0"/>
    <n v="0"/>
    <n v="0"/>
    <n v="0"/>
    <n v="0"/>
    <n v="0"/>
    <n v="69.599999999999994"/>
  </r>
  <r>
    <x v="985"/>
    <d v="2025-03-10T00:00:00"/>
    <x v="1"/>
    <s v="East"/>
    <s v="Mobile"/>
    <s v="Paid Search"/>
    <s v="Free"/>
    <n v="1"/>
    <n v="0"/>
    <n v="0"/>
    <n v="0"/>
    <n v="0"/>
    <n v="0"/>
    <n v="0"/>
    <n v="0"/>
    <n v="77.5"/>
  </r>
  <r>
    <x v="986"/>
    <d v="2025-03-10T00:00:00"/>
    <x v="1"/>
    <s v="East"/>
    <s v="Tablet"/>
    <s v="Social"/>
    <s v="Premium"/>
    <n v="0"/>
    <n v="0"/>
    <n v="0"/>
    <n v="0"/>
    <n v="0"/>
    <n v="2"/>
    <n v="0"/>
    <n v="0"/>
    <n v="57.5"/>
  </r>
  <r>
    <x v="987"/>
    <d v="2025-04-19T00:00:00"/>
    <x v="1"/>
    <s v="West"/>
    <s v="Tablet"/>
    <s v="Email"/>
    <s v="Basic"/>
    <n v="1"/>
    <n v="0"/>
    <n v="0"/>
    <n v="0"/>
    <n v="0"/>
    <n v="0"/>
    <n v="0"/>
    <n v="0"/>
    <n v="64.2"/>
  </r>
  <r>
    <x v="988"/>
    <d v="2025-04-11T00:00:00"/>
    <x v="1"/>
    <s v="West"/>
    <s v="Desktop"/>
    <s v="Organic"/>
    <s v="Free"/>
    <n v="0"/>
    <n v="0"/>
    <n v="0"/>
    <n v="0"/>
    <n v="0"/>
    <n v="0"/>
    <n v="0"/>
    <n v="0"/>
    <n v="60"/>
  </r>
  <r>
    <x v="989"/>
    <d v="2025-04-10T00:00:00"/>
    <x v="1"/>
    <s v="East"/>
    <s v="Mobile"/>
    <s v="Organic"/>
    <s v="Basic"/>
    <n v="1"/>
    <n v="0"/>
    <n v="0"/>
    <n v="0"/>
    <n v="0"/>
    <n v="1"/>
    <n v="0"/>
    <n v="0"/>
    <n v="43.7"/>
  </r>
  <r>
    <x v="990"/>
    <d v="2025-01-13T00:00:00"/>
    <x v="1"/>
    <s v="West"/>
    <s v="Desktop"/>
    <s v="Social"/>
    <s v="Free"/>
    <n v="1"/>
    <n v="0"/>
    <n v="0"/>
    <n v="0"/>
    <n v="0"/>
    <n v="0"/>
    <n v="0"/>
    <n v="0"/>
    <n v="64.900000000000006"/>
  </r>
  <r>
    <x v="991"/>
    <d v="2025-03-28T00:00:00"/>
    <x v="1"/>
    <s v="South"/>
    <s v="Desktop"/>
    <s v="Organic"/>
    <s v="Free"/>
    <n v="1"/>
    <n v="1"/>
    <n v="0"/>
    <n v="0"/>
    <n v="0"/>
    <n v="0"/>
    <n v="0"/>
    <n v="0"/>
    <n v="45.5"/>
  </r>
  <r>
    <x v="992"/>
    <d v="2025-01-29T00:00:00"/>
    <x v="1"/>
    <s v="East"/>
    <s v="Mobile"/>
    <s v="Paid Search"/>
    <s v="Free"/>
    <n v="1"/>
    <n v="1"/>
    <n v="1"/>
    <n v="1"/>
    <n v="1772.97"/>
    <n v="0"/>
    <n v="0"/>
    <n v="8"/>
    <n v="61.2"/>
  </r>
  <r>
    <x v="993"/>
    <d v="2025-03-27T00:00:00"/>
    <x v="1"/>
    <s v="South"/>
    <s v="Mobile"/>
    <s v="Referral"/>
    <s v="Free"/>
    <n v="0"/>
    <n v="0"/>
    <n v="0"/>
    <n v="0"/>
    <n v="0"/>
    <n v="0"/>
    <n v="0"/>
    <n v="0"/>
    <n v="87.8"/>
  </r>
  <r>
    <x v="994"/>
    <d v="2025-03-20T00:00:00"/>
    <x v="1"/>
    <s v="East"/>
    <s v="Tablet"/>
    <s v="Social"/>
    <s v="Free"/>
    <n v="0"/>
    <n v="0"/>
    <n v="0"/>
    <n v="0"/>
    <n v="0"/>
    <n v="0"/>
    <n v="0"/>
    <n v="0"/>
    <n v="86.4"/>
  </r>
  <r>
    <x v="995"/>
    <d v="2025-01-09T00:00:00"/>
    <x v="1"/>
    <s v="North"/>
    <s v="Mobile"/>
    <s v="Paid Search"/>
    <s v="Basic"/>
    <n v="0"/>
    <n v="0"/>
    <n v="0"/>
    <n v="0"/>
    <n v="0"/>
    <n v="1"/>
    <n v="0"/>
    <n v="0"/>
    <n v="71.400000000000006"/>
  </r>
  <r>
    <x v="996"/>
    <d v="2025-04-25T00:00:00"/>
    <x v="1"/>
    <s v="West"/>
    <s v="Mobile"/>
    <s v="Social"/>
    <s v="Free"/>
    <n v="1"/>
    <n v="1"/>
    <n v="1"/>
    <n v="1"/>
    <n v="218.66"/>
    <n v="0"/>
    <n v="1"/>
    <n v="8"/>
    <n v="72.2"/>
  </r>
  <r>
    <x v="997"/>
    <d v="2025-04-11T00:00:00"/>
    <x v="1"/>
    <s v="South"/>
    <s v="Desktop"/>
    <s v="Social"/>
    <s v="Free"/>
    <n v="1"/>
    <n v="0"/>
    <n v="0"/>
    <n v="0"/>
    <n v="0"/>
    <n v="0"/>
    <n v="0"/>
    <n v="0"/>
    <n v="51.9"/>
  </r>
  <r>
    <x v="998"/>
    <d v="2025-02-05T00:00:00"/>
    <x v="1"/>
    <s v="East"/>
    <s v="Mobile"/>
    <s v="Social"/>
    <s v="Basic"/>
    <n v="1"/>
    <n v="1"/>
    <n v="1"/>
    <n v="0"/>
    <n v="0"/>
    <n v="0"/>
    <n v="0"/>
    <n v="0"/>
    <n v="70.3"/>
  </r>
  <r>
    <x v="999"/>
    <d v="2025-03-28T00:00:00"/>
    <x v="1"/>
    <s v="South"/>
    <s v="Mobile"/>
    <s v="Social"/>
    <s v="Premium"/>
    <n v="1"/>
    <n v="0"/>
    <n v="0"/>
    <n v="0"/>
    <n v="0"/>
    <n v="1"/>
    <n v="0"/>
    <n v="0"/>
    <n v="49.2"/>
  </r>
  <r>
    <x v="1000"/>
    <d v="2025-05-14T00:00:00"/>
    <x v="1"/>
    <s v="South"/>
    <s v="Mobile"/>
    <s v="Referral"/>
    <s v="Free"/>
    <n v="0"/>
    <n v="0"/>
    <n v="0"/>
    <n v="0"/>
    <n v="0"/>
    <n v="0"/>
    <n v="0"/>
    <n v="0"/>
    <n v="52.2"/>
  </r>
  <r>
    <x v="1001"/>
    <d v="2025-03-10T00:00:00"/>
    <x v="1"/>
    <s v="East"/>
    <s v="Mobile"/>
    <s v="Paid Search"/>
    <s v="Basic"/>
    <n v="0"/>
    <n v="0"/>
    <n v="0"/>
    <n v="0"/>
    <n v="0"/>
    <n v="1"/>
    <n v="0"/>
    <n v="0"/>
    <n v="62.6"/>
  </r>
  <r>
    <x v="1002"/>
    <d v="2025-04-09T00:00:00"/>
    <x v="1"/>
    <s v="East"/>
    <s v="Desktop"/>
    <s v="Paid Search"/>
    <s v="Free"/>
    <n v="1"/>
    <n v="1"/>
    <n v="0"/>
    <n v="0"/>
    <n v="0"/>
    <n v="0"/>
    <n v="0"/>
    <n v="0"/>
    <n v="100"/>
  </r>
  <r>
    <x v="1003"/>
    <d v="2025-02-13T00:00:00"/>
    <x v="1"/>
    <s v="North"/>
    <s v="Mobile"/>
    <s v="Referral"/>
    <s v="Basic"/>
    <n v="1"/>
    <n v="1"/>
    <n v="1"/>
    <n v="0"/>
    <n v="0"/>
    <n v="2"/>
    <n v="0"/>
    <n v="0"/>
    <n v="45.9"/>
  </r>
  <r>
    <x v="1004"/>
    <d v="2025-05-03T00:00:00"/>
    <x v="1"/>
    <s v="East"/>
    <s v="Mobile"/>
    <s v="Email"/>
    <s v="Free"/>
    <n v="1"/>
    <n v="1"/>
    <n v="1"/>
    <n v="0"/>
    <n v="0"/>
    <n v="0"/>
    <n v="0"/>
    <n v="0"/>
    <n v="80.7"/>
  </r>
  <r>
    <x v="1005"/>
    <d v="2025-04-16T00:00:00"/>
    <x v="1"/>
    <s v="South"/>
    <s v="Desktop"/>
    <s v="Referral"/>
    <s v="Premium"/>
    <n v="1"/>
    <n v="0"/>
    <n v="0"/>
    <n v="0"/>
    <n v="0"/>
    <n v="0"/>
    <n v="0"/>
    <n v="0"/>
    <n v="51.9"/>
  </r>
  <r>
    <x v="1006"/>
    <d v="2025-04-30T00:00:00"/>
    <x v="1"/>
    <s v="North"/>
    <s v="Mobile"/>
    <s v="Paid Search"/>
    <s v="Premium"/>
    <n v="1"/>
    <n v="0"/>
    <n v="0"/>
    <n v="0"/>
    <n v="0"/>
    <n v="0"/>
    <n v="0"/>
    <n v="0"/>
    <n v="68.900000000000006"/>
  </r>
  <r>
    <x v="1007"/>
    <d v="2025-02-18T00:00:00"/>
    <x v="1"/>
    <s v="West"/>
    <s v="Desktop"/>
    <s v="Organic"/>
    <s v="Free"/>
    <n v="1"/>
    <n v="0"/>
    <n v="0"/>
    <n v="0"/>
    <n v="0"/>
    <n v="0"/>
    <n v="0"/>
    <n v="0"/>
    <n v="66"/>
  </r>
  <r>
    <x v="1008"/>
    <d v="2025-05-22T00:00:00"/>
    <x v="1"/>
    <s v="West"/>
    <s v="Desktop"/>
    <s v="Referral"/>
    <s v="Basic"/>
    <n v="0"/>
    <n v="0"/>
    <n v="0"/>
    <n v="0"/>
    <n v="0"/>
    <n v="0"/>
    <n v="0"/>
    <n v="0"/>
    <n v="63.1"/>
  </r>
  <r>
    <x v="1009"/>
    <d v="2025-05-21T00:00:00"/>
    <x v="1"/>
    <s v="South"/>
    <s v="Desktop"/>
    <s v="Organic"/>
    <s v="Free"/>
    <n v="0"/>
    <n v="0"/>
    <n v="0"/>
    <n v="0"/>
    <n v="0"/>
    <n v="0"/>
    <n v="0"/>
    <n v="0"/>
    <n v="56"/>
  </r>
  <r>
    <x v="1010"/>
    <d v="2025-04-10T00:00:00"/>
    <x v="1"/>
    <s v="East"/>
    <s v="Desktop"/>
    <s v="Organic"/>
    <s v="Free"/>
    <n v="1"/>
    <n v="0"/>
    <n v="0"/>
    <n v="0"/>
    <n v="0"/>
    <n v="1"/>
    <n v="0"/>
    <n v="0"/>
    <n v="65.7"/>
  </r>
  <r>
    <x v="1011"/>
    <d v="2025-01-07T00:00:00"/>
    <x v="1"/>
    <s v="North"/>
    <s v="Desktop"/>
    <s v="Organic"/>
    <s v="Premium"/>
    <n v="1"/>
    <n v="1"/>
    <n v="1"/>
    <n v="1"/>
    <n v="1938.31"/>
    <n v="1"/>
    <n v="0"/>
    <n v="9"/>
    <n v="60.9"/>
  </r>
  <r>
    <x v="1012"/>
    <d v="2025-02-03T00:00:00"/>
    <x v="1"/>
    <s v="South"/>
    <s v="Desktop"/>
    <s v="Social"/>
    <s v="Free"/>
    <n v="0"/>
    <n v="0"/>
    <n v="0"/>
    <n v="0"/>
    <n v="0"/>
    <n v="0"/>
    <n v="0"/>
    <n v="0"/>
    <n v="45.5"/>
  </r>
  <r>
    <x v="1013"/>
    <d v="2025-05-18T00:00:00"/>
    <x v="1"/>
    <s v="North"/>
    <s v="Mobile"/>
    <s v="Paid Search"/>
    <s v="Free"/>
    <n v="1"/>
    <n v="0"/>
    <n v="0"/>
    <n v="0"/>
    <n v="0"/>
    <n v="0"/>
    <n v="0"/>
    <n v="0"/>
    <n v="50"/>
  </r>
  <r>
    <x v="1014"/>
    <d v="2025-01-31T00:00:00"/>
    <x v="1"/>
    <s v="North"/>
    <s v="Mobile"/>
    <s v="Referral"/>
    <s v="Free"/>
    <n v="1"/>
    <n v="0"/>
    <n v="0"/>
    <n v="0"/>
    <n v="0"/>
    <n v="0"/>
    <n v="0"/>
    <n v="0"/>
    <n v="72.099999999999994"/>
  </r>
  <r>
    <x v="1015"/>
    <d v="2025-01-16T00:00:00"/>
    <x v="1"/>
    <s v="South"/>
    <s v="Desktop"/>
    <s v="Organic"/>
    <s v="Basic"/>
    <n v="1"/>
    <n v="0"/>
    <n v="0"/>
    <n v="0"/>
    <n v="0"/>
    <n v="0"/>
    <n v="0"/>
    <n v="0"/>
    <n v="76.3"/>
  </r>
  <r>
    <x v="1016"/>
    <d v="2025-05-14T00:00:00"/>
    <x v="1"/>
    <s v="East"/>
    <s v="Mobile"/>
    <s v="Paid Search"/>
    <s v="Basic"/>
    <n v="1"/>
    <n v="1"/>
    <n v="0"/>
    <n v="0"/>
    <n v="0"/>
    <n v="1"/>
    <n v="0"/>
    <n v="0"/>
    <n v="54.8"/>
  </r>
  <r>
    <x v="1017"/>
    <d v="2025-04-01T00:00:00"/>
    <x v="1"/>
    <s v="South"/>
    <s v="Mobile"/>
    <s v="Unknown"/>
    <s v="Basic"/>
    <n v="1"/>
    <n v="0"/>
    <n v="0"/>
    <n v="0"/>
    <n v="0"/>
    <n v="0"/>
    <n v="0"/>
    <n v="0"/>
    <n v="63.6"/>
  </r>
  <r>
    <x v="1018"/>
    <d v="2025-04-23T00:00:00"/>
    <x v="1"/>
    <s v="South"/>
    <s v="Mobile"/>
    <s v="Organic"/>
    <s v="Free"/>
    <n v="1"/>
    <n v="0"/>
    <n v="0"/>
    <n v="0"/>
    <n v="0"/>
    <n v="0"/>
    <n v="0"/>
    <n v="0"/>
    <n v="68.8"/>
  </r>
  <r>
    <x v="1019"/>
    <d v="2025-03-02T00:00:00"/>
    <x v="1"/>
    <s v="South"/>
    <s v="Desktop"/>
    <s v="Paid Search"/>
    <s v="Basic"/>
    <n v="1"/>
    <n v="0"/>
    <n v="0"/>
    <n v="0"/>
    <n v="0"/>
    <n v="0"/>
    <n v="0"/>
    <n v="0"/>
    <n v="63.2"/>
  </r>
  <r>
    <x v="1020"/>
    <d v="2025-01-02T00:00:00"/>
    <x v="1"/>
    <s v="East"/>
    <s v="Mobile"/>
    <s v="Paid Search"/>
    <s v="Basic"/>
    <n v="0"/>
    <n v="0"/>
    <n v="0"/>
    <n v="0"/>
    <n v="0"/>
    <n v="0"/>
    <n v="0"/>
    <n v="0"/>
    <n v="45"/>
  </r>
  <r>
    <x v="1021"/>
    <d v="2025-05-04T00:00:00"/>
    <x v="1"/>
    <s v="South"/>
    <s v="Mobile"/>
    <s v="Organic"/>
    <s v="Free"/>
    <n v="1"/>
    <n v="0"/>
    <n v="0"/>
    <n v="0"/>
    <n v="0"/>
    <n v="0"/>
    <n v="0"/>
    <n v="0"/>
    <n v="77.400000000000006"/>
  </r>
  <r>
    <x v="1022"/>
    <d v="2025-01-16T00:00:00"/>
    <x v="1"/>
    <s v="East"/>
    <s v="Desktop"/>
    <s v="Paid Search"/>
    <s v="Basic"/>
    <n v="0"/>
    <n v="0"/>
    <n v="0"/>
    <n v="0"/>
    <n v="0"/>
    <n v="0"/>
    <n v="0"/>
    <n v="0"/>
    <n v="53.1"/>
  </r>
  <r>
    <x v="1023"/>
    <d v="2025-02-11T00:00:00"/>
    <x v="1"/>
    <s v="West"/>
    <s v="Tablet"/>
    <s v="Paid Search"/>
    <s v="Premium"/>
    <n v="0"/>
    <n v="0"/>
    <n v="0"/>
    <n v="0"/>
    <n v="0"/>
    <n v="0"/>
    <n v="0"/>
    <n v="0"/>
    <n v="74"/>
  </r>
  <r>
    <x v="1024"/>
    <d v="2025-04-03T00:00:00"/>
    <x v="1"/>
    <s v="North"/>
    <s v="Mobile"/>
    <s v="Social"/>
    <s v="Premium"/>
    <n v="1"/>
    <n v="1"/>
    <n v="1"/>
    <n v="1"/>
    <n v="1906.23"/>
    <n v="0"/>
    <n v="0"/>
    <n v="4"/>
    <n v="84.6"/>
  </r>
  <r>
    <x v="1025"/>
    <d v="2025-03-26T00:00:00"/>
    <x v="1"/>
    <s v="East"/>
    <s v="Mobile"/>
    <s v="Referral"/>
    <s v="Free"/>
    <n v="1"/>
    <n v="0"/>
    <n v="0"/>
    <n v="0"/>
    <n v="0"/>
    <n v="0"/>
    <n v="0"/>
    <n v="0"/>
    <n v="57"/>
  </r>
  <r>
    <x v="1026"/>
    <d v="2025-05-16T00:00:00"/>
    <x v="1"/>
    <s v="South"/>
    <s v="Mobile"/>
    <s v="Email"/>
    <s v="Premium"/>
    <n v="0"/>
    <n v="0"/>
    <n v="0"/>
    <n v="0"/>
    <n v="0"/>
    <n v="0"/>
    <n v="0"/>
    <n v="0"/>
    <n v="46.3"/>
  </r>
  <r>
    <x v="1027"/>
    <d v="2025-04-20T00:00:00"/>
    <x v="1"/>
    <s v="West"/>
    <s v="Mobile"/>
    <s v="Social"/>
    <s v="Free"/>
    <n v="0"/>
    <n v="0"/>
    <n v="0"/>
    <n v="0"/>
    <n v="0"/>
    <n v="1"/>
    <n v="0"/>
    <n v="0"/>
    <n v="64.400000000000006"/>
  </r>
  <r>
    <x v="1028"/>
    <d v="2025-04-15T00:00:00"/>
    <x v="1"/>
    <s v="West"/>
    <s v="Mobile"/>
    <s v="Paid Search"/>
    <s v="Free"/>
    <n v="1"/>
    <n v="0"/>
    <n v="0"/>
    <n v="0"/>
    <n v="0"/>
    <n v="2"/>
    <n v="0"/>
    <n v="0"/>
    <n v="61.9"/>
  </r>
  <r>
    <x v="1029"/>
    <d v="2025-01-24T00:00:00"/>
    <x v="1"/>
    <s v="North"/>
    <s v="Mobile"/>
    <s v="Organic"/>
    <s v="Premium"/>
    <n v="1"/>
    <n v="1"/>
    <n v="1"/>
    <n v="0"/>
    <n v="0"/>
    <n v="0"/>
    <n v="0"/>
    <n v="0"/>
    <n v="93.7"/>
  </r>
  <r>
    <x v="1030"/>
    <d v="2025-04-11T00:00:00"/>
    <x v="1"/>
    <s v="South"/>
    <s v="Mobile"/>
    <s v="Referral"/>
    <s v="Basic"/>
    <n v="0"/>
    <n v="0"/>
    <n v="0"/>
    <n v="0"/>
    <n v="0"/>
    <n v="0"/>
    <n v="0"/>
    <n v="0"/>
    <n v="61.6"/>
  </r>
  <r>
    <x v="1031"/>
    <d v="2025-05-19T00:00:00"/>
    <x v="1"/>
    <s v="North"/>
    <s v="Mobile"/>
    <s v="Paid Search"/>
    <s v="Free"/>
    <n v="1"/>
    <n v="0"/>
    <n v="0"/>
    <n v="0"/>
    <n v="0"/>
    <n v="0"/>
    <n v="0"/>
    <n v="0"/>
    <n v="72.2"/>
  </r>
  <r>
    <x v="1032"/>
    <d v="2025-01-14T00:00:00"/>
    <x v="1"/>
    <s v="North"/>
    <s v="Mobile"/>
    <s v="Organic"/>
    <s v="Basic"/>
    <n v="0"/>
    <n v="0"/>
    <n v="0"/>
    <n v="0"/>
    <n v="0"/>
    <n v="0"/>
    <n v="0"/>
    <n v="0"/>
    <n v="69.5"/>
  </r>
  <r>
    <x v="1033"/>
    <d v="2025-02-28T00:00:00"/>
    <x v="1"/>
    <s v="East"/>
    <s v="Desktop"/>
    <s v="Organic"/>
    <s v="Basic"/>
    <n v="0"/>
    <n v="0"/>
    <n v="0"/>
    <n v="0"/>
    <n v="0"/>
    <n v="0"/>
    <n v="0"/>
    <n v="0"/>
    <n v="59.7"/>
  </r>
  <r>
    <x v="1034"/>
    <d v="2025-05-18T00:00:00"/>
    <x v="1"/>
    <s v="East"/>
    <s v="Tablet"/>
    <s v="Paid Search"/>
    <s v="Basic"/>
    <n v="1"/>
    <n v="0"/>
    <n v="0"/>
    <n v="0"/>
    <n v="0"/>
    <n v="0"/>
    <n v="0"/>
    <n v="0"/>
    <n v="73.900000000000006"/>
  </r>
  <r>
    <x v="1035"/>
    <d v="2025-01-04T00:00:00"/>
    <x v="1"/>
    <s v="North"/>
    <s v="Mobile"/>
    <s v="Social"/>
    <s v="Free"/>
    <n v="0"/>
    <n v="0"/>
    <n v="0"/>
    <n v="0"/>
    <n v="0"/>
    <n v="0"/>
    <n v="0"/>
    <n v="0"/>
    <n v="41.5"/>
  </r>
  <r>
    <x v="1036"/>
    <d v="2025-01-16T00:00:00"/>
    <x v="1"/>
    <s v="West"/>
    <s v="Mobile"/>
    <s v="Social"/>
    <s v="Premium"/>
    <n v="1"/>
    <n v="0"/>
    <n v="0"/>
    <n v="0"/>
    <n v="0"/>
    <n v="0"/>
    <n v="0"/>
    <n v="0"/>
    <n v="82.8"/>
  </r>
  <r>
    <x v="1037"/>
    <d v="2025-03-14T00:00:00"/>
    <x v="1"/>
    <s v="West"/>
    <s v="Mobile"/>
    <s v="Social"/>
    <s v="Premium"/>
    <n v="1"/>
    <n v="0"/>
    <n v="0"/>
    <n v="0"/>
    <n v="0"/>
    <n v="3"/>
    <n v="0"/>
    <n v="0"/>
    <n v="70.2"/>
  </r>
  <r>
    <x v="1038"/>
    <d v="2025-01-23T00:00:00"/>
    <x v="1"/>
    <s v="East"/>
    <s v="Mobile"/>
    <s v="Paid Search"/>
    <s v="Basic"/>
    <n v="1"/>
    <n v="0"/>
    <n v="0"/>
    <n v="0"/>
    <n v="0"/>
    <n v="1"/>
    <n v="0"/>
    <n v="0"/>
    <n v="69.400000000000006"/>
  </r>
  <r>
    <x v="1039"/>
    <d v="2025-02-03T00:00:00"/>
    <x v="1"/>
    <s v="North"/>
    <s v="Desktop"/>
    <s v="Organic"/>
    <s v="Basic"/>
    <n v="1"/>
    <n v="0"/>
    <n v="0"/>
    <n v="0"/>
    <n v="0"/>
    <n v="0"/>
    <n v="0"/>
    <n v="0"/>
    <n v="60.4"/>
  </r>
  <r>
    <x v="1040"/>
    <d v="2025-05-16T00:00:00"/>
    <x v="1"/>
    <s v="East"/>
    <s v="Mobile"/>
    <s v="Referral"/>
    <s v="Free"/>
    <n v="1"/>
    <n v="0"/>
    <n v="0"/>
    <n v="0"/>
    <n v="0"/>
    <n v="0"/>
    <n v="0"/>
    <n v="0"/>
    <n v="45.7"/>
  </r>
  <r>
    <x v="1041"/>
    <d v="2025-01-11T00:00:00"/>
    <x v="1"/>
    <s v="West"/>
    <s v="Mobile"/>
    <s v="Organic"/>
    <s v="Basic"/>
    <n v="0"/>
    <n v="0"/>
    <n v="0"/>
    <n v="0"/>
    <n v="0"/>
    <n v="1"/>
    <n v="0"/>
    <n v="0"/>
    <n v="42.2"/>
  </r>
  <r>
    <x v="1042"/>
    <d v="2025-05-25T00:00:00"/>
    <x v="1"/>
    <s v="North"/>
    <s v="Desktop"/>
    <s v="Organic"/>
    <s v="Free"/>
    <n v="0"/>
    <n v="0"/>
    <n v="0"/>
    <n v="0"/>
    <n v="0"/>
    <n v="2"/>
    <n v="0"/>
    <n v="0"/>
    <n v="61.9"/>
  </r>
  <r>
    <x v="1043"/>
    <d v="2025-05-08T00:00:00"/>
    <x v="1"/>
    <s v="East"/>
    <s v="Mobile"/>
    <s v="Paid Search"/>
    <s v="Premium"/>
    <n v="0"/>
    <n v="0"/>
    <n v="0"/>
    <n v="0"/>
    <n v="0"/>
    <n v="0"/>
    <n v="0"/>
    <n v="0"/>
    <n v="44.9"/>
  </r>
  <r>
    <x v="1044"/>
    <d v="2025-02-26T00:00:00"/>
    <x v="1"/>
    <s v="East"/>
    <s v="Desktop"/>
    <s v="Unknown"/>
    <s v="Basic"/>
    <n v="1"/>
    <n v="0"/>
    <n v="0"/>
    <n v="0"/>
    <n v="0"/>
    <n v="0"/>
    <n v="0"/>
    <n v="0"/>
    <n v="68"/>
  </r>
  <r>
    <x v="1045"/>
    <d v="2025-03-30T00:00:00"/>
    <x v="1"/>
    <s v="North"/>
    <s v="Mobile"/>
    <s v="Paid Search"/>
    <s v="Free"/>
    <n v="1"/>
    <n v="0"/>
    <n v="0"/>
    <n v="0"/>
    <n v="0"/>
    <n v="0"/>
    <n v="0"/>
    <n v="0"/>
    <n v="61"/>
  </r>
  <r>
    <x v="1046"/>
    <d v="2025-04-13T00:00:00"/>
    <x v="1"/>
    <s v="West"/>
    <s v="Mobile"/>
    <s v="Organic"/>
    <s v="Basic"/>
    <n v="1"/>
    <n v="0"/>
    <n v="0"/>
    <n v="0"/>
    <n v="0"/>
    <n v="0"/>
    <n v="0"/>
    <n v="0"/>
    <n v="55"/>
  </r>
  <r>
    <x v="1047"/>
    <d v="2025-02-20T00:00:00"/>
    <x v="1"/>
    <s v="East"/>
    <s v="Unknown"/>
    <s v="Paid Search"/>
    <s v="Basic"/>
    <n v="1"/>
    <n v="0"/>
    <n v="0"/>
    <n v="0"/>
    <n v="0"/>
    <n v="0"/>
    <n v="0"/>
    <n v="0"/>
    <n v="63.1"/>
  </r>
  <r>
    <x v="1048"/>
    <d v="2025-04-19T00:00:00"/>
    <x v="1"/>
    <s v="West"/>
    <s v="Desktop"/>
    <s v="Social"/>
    <s v="Free"/>
    <n v="1"/>
    <n v="0"/>
    <n v="0"/>
    <n v="0"/>
    <n v="0"/>
    <n v="0"/>
    <n v="0"/>
    <n v="0"/>
    <n v="75.8"/>
  </r>
  <r>
    <x v="1049"/>
    <d v="2025-03-22T00:00:00"/>
    <x v="1"/>
    <s v="South"/>
    <s v="Mobile"/>
    <s v="Paid Search"/>
    <s v="Free"/>
    <n v="1"/>
    <n v="1"/>
    <n v="0"/>
    <n v="0"/>
    <n v="0"/>
    <n v="1"/>
    <n v="0"/>
    <n v="0"/>
    <n v="43.8"/>
  </r>
  <r>
    <x v="1050"/>
    <d v="2025-02-28T00:00:00"/>
    <x v="1"/>
    <s v="North"/>
    <s v="Mobile"/>
    <s v="Email"/>
    <s v="Basic"/>
    <n v="1"/>
    <n v="1"/>
    <n v="0"/>
    <n v="0"/>
    <n v="0"/>
    <n v="0"/>
    <n v="0"/>
    <n v="0"/>
    <n v="46.8"/>
  </r>
  <r>
    <x v="1051"/>
    <d v="2025-05-24T00:00:00"/>
    <x v="1"/>
    <s v="East"/>
    <s v="Mobile"/>
    <s v="Social"/>
    <s v="Free"/>
    <n v="1"/>
    <n v="1"/>
    <n v="1"/>
    <n v="0"/>
    <n v="0"/>
    <n v="0"/>
    <n v="0"/>
    <n v="0"/>
    <n v="97.4"/>
  </r>
  <r>
    <x v="1052"/>
    <d v="2025-02-03T00:00:00"/>
    <x v="1"/>
    <s v="North"/>
    <s v="Desktop"/>
    <s v="Email"/>
    <s v="Free"/>
    <n v="1"/>
    <n v="1"/>
    <n v="1"/>
    <n v="1"/>
    <n v="268.95999999999998"/>
    <n v="0"/>
    <n v="0"/>
    <n v="14"/>
    <n v="81"/>
  </r>
  <r>
    <x v="1053"/>
    <d v="2025-01-27T00:00:00"/>
    <x v="1"/>
    <s v="South"/>
    <s v="Mobile"/>
    <s v="Organic"/>
    <s v="Free"/>
    <n v="1"/>
    <n v="0"/>
    <n v="0"/>
    <n v="0"/>
    <n v="0"/>
    <n v="1"/>
    <n v="0"/>
    <n v="0"/>
    <n v="58.9"/>
  </r>
  <r>
    <x v="1054"/>
    <d v="2025-04-17T00:00:00"/>
    <x v="1"/>
    <s v="East"/>
    <s v="Mobile"/>
    <s v="Organic"/>
    <s v="Free"/>
    <n v="1"/>
    <n v="0"/>
    <n v="0"/>
    <n v="0"/>
    <n v="0"/>
    <n v="0"/>
    <n v="0"/>
    <n v="0"/>
    <n v="51.9"/>
  </r>
  <r>
    <x v="1055"/>
    <d v="2025-02-06T00:00:00"/>
    <x v="1"/>
    <s v="West"/>
    <s v="Mobile"/>
    <s v="Social"/>
    <s v="Free"/>
    <n v="1"/>
    <n v="1"/>
    <n v="0"/>
    <n v="0"/>
    <n v="0"/>
    <n v="0"/>
    <n v="0"/>
    <n v="0"/>
    <n v="61.7"/>
  </r>
  <r>
    <x v="1056"/>
    <d v="2025-04-20T00:00:00"/>
    <x v="1"/>
    <s v="South"/>
    <s v="Mobile"/>
    <s v="Paid Search"/>
    <s v="Free"/>
    <n v="1"/>
    <n v="0"/>
    <n v="0"/>
    <n v="0"/>
    <n v="0"/>
    <n v="0"/>
    <n v="0"/>
    <n v="0"/>
    <n v="44.7"/>
  </r>
  <r>
    <x v="1057"/>
    <d v="2025-05-06T00:00:00"/>
    <x v="1"/>
    <s v="North"/>
    <s v="Mobile"/>
    <s v="Paid Search"/>
    <s v="Basic"/>
    <n v="0"/>
    <n v="0"/>
    <n v="0"/>
    <n v="0"/>
    <n v="0"/>
    <n v="0"/>
    <n v="0"/>
    <n v="0"/>
    <n v="63.2"/>
  </r>
  <r>
    <x v="1058"/>
    <d v="2025-05-16T00:00:00"/>
    <x v="1"/>
    <s v="South"/>
    <s v="Mobile"/>
    <s v="Organic"/>
    <s v="Free"/>
    <n v="1"/>
    <n v="0"/>
    <n v="0"/>
    <n v="0"/>
    <n v="0"/>
    <n v="0"/>
    <n v="0"/>
    <n v="0"/>
    <n v="70.3"/>
  </r>
  <r>
    <x v="1059"/>
    <d v="2025-03-02T00:00:00"/>
    <x v="1"/>
    <s v="South"/>
    <s v="Mobile"/>
    <s v="Paid Search"/>
    <s v="Premium"/>
    <n v="1"/>
    <n v="1"/>
    <n v="0"/>
    <n v="0"/>
    <n v="0"/>
    <n v="1"/>
    <n v="0"/>
    <n v="0"/>
    <n v="83.1"/>
  </r>
  <r>
    <x v="1060"/>
    <d v="2025-04-09T00:00:00"/>
    <x v="1"/>
    <s v="West"/>
    <s v="Mobile"/>
    <s v="Social"/>
    <s v="Free"/>
    <n v="0"/>
    <n v="0"/>
    <n v="0"/>
    <n v="0"/>
    <n v="0"/>
    <n v="0"/>
    <n v="0"/>
    <n v="0"/>
    <n v="50.3"/>
  </r>
  <r>
    <x v="1061"/>
    <d v="2025-01-26T00:00:00"/>
    <x v="1"/>
    <s v="East"/>
    <s v="Mobile"/>
    <s v="Paid Search"/>
    <s v="Free"/>
    <n v="1"/>
    <n v="1"/>
    <n v="1"/>
    <n v="1"/>
    <n v="437.09"/>
    <n v="2"/>
    <n v="1"/>
    <n v="1"/>
    <n v="58.2"/>
  </r>
  <r>
    <x v="1062"/>
    <d v="2025-02-25T00:00:00"/>
    <x v="1"/>
    <s v="South"/>
    <s v="Mobile"/>
    <s v="Paid Search"/>
    <s v="Basic"/>
    <n v="1"/>
    <n v="1"/>
    <n v="1"/>
    <n v="0"/>
    <n v="0"/>
    <n v="0"/>
    <n v="0"/>
    <n v="0"/>
    <n v="53.2"/>
  </r>
  <r>
    <x v="1063"/>
    <d v="2025-01-07T00:00:00"/>
    <x v="1"/>
    <s v="East"/>
    <s v="Mobile"/>
    <s v="Organic"/>
    <s v="Premium"/>
    <n v="0"/>
    <n v="0"/>
    <n v="0"/>
    <n v="0"/>
    <n v="0"/>
    <n v="0"/>
    <n v="0"/>
    <n v="0"/>
    <n v="36.4"/>
  </r>
  <r>
    <x v="1064"/>
    <d v="2025-03-08T00:00:00"/>
    <x v="1"/>
    <s v="South"/>
    <s v="Mobile"/>
    <s v="Social"/>
    <s v="Basic"/>
    <n v="1"/>
    <n v="1"/>
    <n v="1"/>
    <n v="0"/>
    <n v="0"/>
    <n v="0"/>
    <n v="0"/>
    <n v="0"/>
    <n v="72.7"/>
  </r>
  <r>
    <x v="1065"/>
    <d v="2025-05-22T00:00:00"/>
    <x v="1"/>
    <s v="East"/>
    <s v="Mobile"/>
    <s v="Referral"/>
    <s v="Free"/>
    <n v="1"/>
    <n v="0"/>
    <n v="0"/>
    <n v="0"/>
    <n v="0"/>
    <n v="1"/>
    <n v="0"/>
    <n v="0"/>
    <n v="86.7"/>
  </r>
  <r>
    <x v="1066"/>
    <d v="2025-04-18T00:00:00"/>
    <x v="1"/>
    <s v="East"/>
    <s v="Mobile"/>
    <s v="Paid Search"/>
    <s v="Premium"/>
    <n v="1"/>
    <n v="0"/>
    <n v="0"/>
    <n v="0"/>
    <n v="0"/>
    <n v="0"/>
    <n v="0"/>
    <n v="0"/>
    <n v="48.2"/>
  </r>
  <r>
    <x v="1067"/>
    <d v="2025-02-24T00:00:00"/>
    <x v="1"/>
    <s v="West"/>
    <s v="Mobile"/>
    <s v="Referral"/>
    <s v="Basic"/>
    <n v="0"/>
    <n v="0"/>
    <n v="0"/>
    <n v="0"/>
    <n v="0"/>
    <n v="1"/>
    <n v="0"/>
    <n v="0"/>
    <n v="57.6"/>
  </r>
  <r>
    <x v="1068"/>
    <d v="2025-02-11T00:00:00"/>
    <x v="1"/>
    <s v="North"/>
    <s v="Mobile"/>
    <s v="Organic"/>
    <s v="Free"/>
    <n v="1"/>
    <n v="1"/>
    <n v="1"/>
    <n v="0"/>
    <n v="0"/>
    <n v="0"/>
    <n v="0"/>
    <n v="0"/>
    <n v="75.7"/>
  </r>
  <r>
    <x v="1069"/>
    <d v="2025-03-11T00:00:00"/>
    <x v="1"/>
    <s v="West"/>
    <s v="Desktop"/>
    <s v="Paid Search"/>
    <s v="Free"/>
    <n v="1"/>
    <n v="0"/>
    <n v="0"/>
    <n v="0"/>
    <n v="0"/>
    <n v="2"/>
    <n v="0"/>
    <n v="0"/>
    <n v="48.6"/>
  </r>
  <r>
    <x v="1070"/>
    <d v="2025-04-11T00:00:00"/>
    <x v="1"/>
    <s v="East"/>
    <s v="Tablet"/>
    <s v="Referral"/>
    <s v="Free"/>
    <n v="1"/>
    <n v="1"/>
    <n v="1"/>
    <n v="0"/>
    <n v="0"/>
    <n v="0"/>
    <n v="0"/>
    <n v="0"/>
    <n v="72"/>
  </r>
  <r>
    <x v="1071"/>
    <d v="2025-03-11T00:00:00"/>
    <x v="1"/>
    <s v="North"/>
    <s v="Mobile"/>
    <s v="Organic"/>
    <s v="Free"/>
    <n v="0"/>
    <n v="0"/>
    <n v="0"/>
    <n v="0"/>
    <n v="0"/>
    <n v="0"/>
    <n v="0"/>
    <n v="0"/>
    <n v="72.2"/>
  </r>
  <r>
    <x v="1072"/>
    <d v="2025-05-22T00:00:00"/>
    <x v="1"/>
    <s v="East"/>
    <s v="Mobile"/>
    <s v="Referral"/>
    <s v="Free"/>
    <n v="1"/>
    <n v="0"/>
    <n v="0"/>
    <n v="0"/>
    <n v="0"/>
    <n v="1"/>
    <n v="0"/>
    <n v="0"/>
    <n v="0"/>
  </r>
  <r>
    <x v="1073"/>
    <d v="2025-02-22T00:00:00"/>
    <x v="1"/>
    <s v="South"/>
    <s v="Desktop"/>
    <s v="Organic"/>
    <s v="Free"/>
    <n v="1"/>
    <n v="1"/>
    <n v="1"/>
    <n v="1"/>
    <n v="331.53"/>
    <n v="2"/>
    <n v="0"/>
    <n v="4"/>
    <n v="56.8"/>
  </r>
  <r>
    <x v="1074"/>
    <d v="2025-01-13T00:00:00"/>
    <x v="1"/>
    <s v="East"/>
    <s v="Mobile"/>
    <s v="Paid Search"/>
    <s v="Basic"/>
    <n v="1"/>
    <n v="0"/>
    <n v="0"/>
    <n v="0"/>
    <n v="0"/>
    <n v="0"/>
    <n v="0"/>
    <n v="0"/>
    <n v="62.5"/>
  </r>
  <r>
    <x v="1075"/>
    <d v="2025-05-19T00:00:00"/>
    <x v="1"/>
    <s v="South"/>
    <s v="Mobile"/>
    <s v="Organic"/>
    <s v="Free"/>
    <n v="1"/>
    <n v="0"/>
    <n v="0"/>
    <n v="0"/>
    <n v="0"/>
    <n v="0"/>
    <n v="0"/>
    <n v="0"/>
    <n v="63.4"/>
  </r>
  <r>
    <x v="1076"/>
    <d v="2025-03-08T00:00:00"/>
    <x v="1"/>
    <s v="North"/>
    <s v="Tablet"/>
    <s v="Organic"/>
    <s v="Basic"/>
    <n v="1"/>
    <n v="1"/>
    <n v="1"/>
    <n v="1"/>
    <n v="774.78"/>
    <n v="0"/>
    <n v="0"/>
    <n v="3"/>
    <n v="46.8"/>
  </r>
  <r>
    <x v="1077"/>
    <d v="2025-04-20T00:00:00"/>
    <x v="1"/>
    <s v="South"/>
    <s v="Mobile"/>
    <s v="Organic"/>
    <s v="Free"/>
    <n v="1"/>
    <n v="1"/>
    <n v="1"/>
    <n v="1"/>
    <n v="422.02"/>
    <n v="0"/>
    <n v="0"/>
    <n v="8"/>
    <n v="86.5"/>
  </r>
  <r>
    <x v="1078"/>
    <d v="2025-05-08T00:00:00"/>
    <x v="1"/>
    <s v="West"/>
    <s v="Mobile"/>
    <s v="Email"/>
    <s v="Basic"/>
    <n v="0"/>
    <n v="0"/>
    <n v="0"/>
    <n v="0"/>
    <n v="0"/>
    <n v="1"/>
    <n v="0"/>
    <n v="0"/>
    <n v="75.099999999999994"/>
  </r>
  <r>
    <x v="1079"/>
    <d v="2025-05-10T00:00:00"/>
    <x v="1"/>
    <s v="South"/>
    <s v="Mobile"/>
    <s v="Organic"/>
    <s v="Basic"/>
    <n v="1"/>
    <n v="0"/>
    <n v="0"/>
    <n v="0"/>
    <n v="0"/>
    <n v="0"/>
    <n v="0"/>
    <n v="0"/>
    <n v="64.5"/>
  </r>
  <r>
    <x v="1080"/>
    <d v="2025-03-28T00:00:00"/>
    <x v="1"/>
    <s v="East"/>
    <s v="Mobile"/>
    <s v="Organic"/>
    <s v="Free"/>
    <n v="1"/>
    <n v="0"/>
    <n v="0"/>
    <n v="0"/>
    <n v="0"/>
    <n v="0"/>
    <n v="0"/>
    <n v="0"/>
    <n v="54.2"/>
  </r>
  <r>
    <x v="1081"/>
    <d v="2025-04-30T00:00:00"/>
    <x v="1"/>
    <s v="East"/>
    <s v="Mobile"/>
    <s v="Paid Search"/>
    <s v="Premium"/>
    <n v="1"/>
    <n v="1"/>
    <n v="1"/>
    <n v="0"/>
    <n v="0"/>
    <n v="0"/>
    <n v="0"/>
    <n v="0"/>
    <n v="84.1"/>
  </r>
  <r>
    <x v="1082"/>
    <d v="2025-02-08T00:00:00"/>
    <x v="1"/>
    <s v="North"/>
    <s v="Mobile"/>
    <s v="Organic"/>
    <s v="Basic"/>
    <n v="0"/>
    <n v="0"/>
    <n v="0"/>
    <n v="0"/>
    <n v="0"/>
    <n v="1"/>
    <n v="0"/>
    <n v="0"/>
    <n v="49.1"/>
  </r>
  <r>
    <x v="1083"/>
    <d v="2025-03-07T00:00:00"/>
    <x v="1"/>
    <s v="South"/>
    <s v="Mobile"/>
    <s v="Referral"/>
    <s v="Premium"/>
    <n v="0"/>
    <n v="0"/>
    <n v="0"/>
    <n v="0"/>
    <n v="0"/>
    <n v="0"/>
    <n v="0"/>
    <n v="0"/>
    <n v="92.7"/>
  </r>
  <r>
    <x v="1084"/>
    <d v="2025-05-21T00:00:00"/>
    <x v="1"/>
    <s v="South"/>
    <s v="Mobile"/>
    <s v="Social"/>
    <s v="Basic"/>
    <n v="1"/>
    <n v="1"/>
    <n v="1"/>
    <n v="0"/>
    <n v="0"/>
    <n v="1"/>
    <n v="0"/>
    <n v="0"/>
    <n v="58.7"/>
  </r>
  <r>
    <x v="1085"/>
    <d v="2025-04-12T00:00:00"/>
    <x v="1"/>
    <s v="South"/>
    <s v="Mobile"/>
    <s v="Social"/>
    <s v="Free"/>
    <n v="1"/>
    <n v="1"/>
    <n v="1"/>
    <n v="0"/>
    <n v="0"/>
    <n v="0"/>
    <n v="0"/>
    <n v="0"/>
    <n v="59.3"/>
  </r>
  <r>
    <x v="1086"/>
    <d v="2025-02-02T00:00:00"/>
    <x v="1"/>
    <s v="South"/>
    <s v="Mobile"/>
    <s v="Paid Search"/>
    <s v="Free"/>
    <n v="1"/>
    <n v="0"/>
    <n v="0"/>
    <n v="0"/>
    <n v="0"/>
    <n v="0"/>
    <n v="0"/>
    <n v="0"/>
    <n v="62"/>
  </r>
  <r>
    <x v="1087"/>
    <d v="2025-04-22T00:00:00"/>
    <x v="1"/>
    <s v="North"/>
    <s v="Tablet"/>
    <s v="Referral"/>
    <s v="Free"/>
    <n v="1"/>
    <n v="1"/>
    <n v="1"/>
    <n v="0"/>
    <n v="0"/>
    <n v="1"/>
    <n v="0"/>
    <n v="0"/>
    <n v="60.3"/>
  </r>
  <r>
    <x v="1088"/>
    <d v="2025-02-08T00:00:00"/>
    <x v="1"/>
    <s v="North"/>
    <s v="Mobile"/>
    <s v="Social"/>
    <s v="Basic"/>
    <n v="1"/>
    <n v="0"/>
    <n v="0"/>
    <n v="0"/>
    <n v="0"/>
    <n v="0"/>
    <n v="0"/>
    <n v="0"/>
    <n v="70.5"/>
  </r>
  <r>
    <x v="1089"/>
    <d v="2025-01-24T00:00:00"/>
    <x v="1"/>
    <s v="South"/>
    <s v="Desktop"/>
    <s v="Email"/>
    <s v="Free"/>
    <n v="1"/>
    <n v="0"/>
    <n v="0"/>
    <n v="0"/>
    <n v="0"/>
    <n v="0"/>
    <n v="0"/>
    <n v="0"/>
    <n v="36.799999999999997"/>
  </r>
  <r>
    <x v="1090"/>
    <d v="2025-05-12T00:00:00"/>
    <x v="1"/>
    <s v="South"/>
    <s v="Mobile"/>
    <s v="Paid Search"/>
    <s v="Basic"/>
    <n v="0"/>
    <n v="0"/>
    <n v="0"/>
    <n v="0"/>
    <n v="0"/>
    <n v="1"/>
    <n v="0"/>
    <n v="0"/>
    <n v="73.2"/>
  </r>
  <r>
    <x v="1091"/>
    <d v="2025-03-30T00:00:00"/>
    <x v="1"/>
    <s v="North"/>
    <s v="Mobile"/>
    <s v="Organic"/>
    <s v="Basic"/>
    <n v="0"/>
    <n v="0"/>
    <n v="0"/>
    <n v="0"/>
    <n v="0"/>
    <n v="0"/>
    <n v="0"/>
    <n v="0"/>
    <n v="70.099999999999994"/>
  </r>
  <r>
    <x v="1092"/>
    <d v="2025-01-02T00:00:00"/>
    <x v="1"/>
    <s v="South"/>
    <s v="Desktop"/>
    <s v="Paid Search"/>
    <s v="Basic"/>
    <n v="1"/>
    <n v="0"/>
    <n v="0"/>
    <n v="0"/>
    <n v="0"/>
    <n v="0"/>
    <n v="0"/>
    <n v="0"/>
    <n v="76.400000000000006"/>
  </r>
  <r>
    <x v="1093"/>
    <d v="2025-03-21T00:00:00"/>
    <x v="1"/>
    <s v="South"/>
    <s v="Tablet"/>
    <s v="Email"/>
    <s v="Basic"/>
    <n v="0"/>
    <n v="0"/>
    <n v="0"/>
    <n v="0"/>
    <n v="0"/>
    <n v="0"/>
    <n v="0"/>
    <n v="0"/>
    <n v="46.4"/>
  </r>
  <r>
    <x v="1094"/>
    <d v="2025-01-25T00:00:00"/>
    <x v="1"/>
    <s v="West"/>
    <s v="Mobile"/>
    <s v="Organic"/>
    <s v="Free"/>
    <n v="1"/>
    <n v="1"/>
    <n v="1"/>
    <n v="0"/>
    <n v="0"/>
    <n v="1"/>
    <n v="0"/>
    <n v="0"/>
    <n v="81.3"/>
  </r>
  <r>
    <x v="1095"/>
    <d v="2025-01-12T00:00:00"/>
    <x v="1"/>
    <s v="South"/>
    <s v="Tablet"/>
    <s v="Social"/>
    <s v="Free"/>
    <n v="1"/>
    <n v="1"/>
    <n v="1"/>
    <n v="0"/>
    <n v="0"/>
    <n v="0"/>
    <n v="0"/>
    <n v="0"/>
    <n v="55.3"/>
  </r>
  <r>
    <x v="1096"/>
    <d v="2025-03-18T00:00:00"/>
    <x v="1"/>
    <s v="East"/>
    <s v="Desktop"/>
    <s v="Referral"/>
    <s v="Free"/>
    <n v="1"/>
    <n v="0"/>
    <n v="0"/>
    <n v="0"/>
    <n v="0"/>
    <n v="0"/>
    <n v="0"/>
    <n v="0"/>
    <n v="44.7"/>
  </r>
  <r>
    <x v="1097"/>
    <d v="2025-03-26T00:00:00"/>
    <x v="1"/>
    <s v="East"/>
    <s v="Mobile"/>
    <s v="Paid Search"/>
    <s v="Basic"/>
    <n v="1"/>
    <n v="0"/>
    <n v="0"/>
    <n v="0"/>
    <n v="0"/>
    <n v="0"/>
    <n v="0"/>
    <n v="0"/>
    <n v="67.2"/>
  </r>
  <r>
    <x v="1098"/>
    <d v="2025-04-19T00:00:00"/>
    <x v="1"/>
    <s v="North"/>
    <s v="Mobile"/>
    <s v="Paid Search"/>
    <s v="Basic"/>
    <n v="1"/>
    <n v="0"/>
    <n v="0"/>
    <n v="0"/>
    <n v="0"/>
    <n v="0"/>
    <n v="0"/>
    <n v="0"/>
    <n v="0"/>
  </r>
  <r>
    <x v="1099"/>
    <d v="2025-04-17T00:00:00"/>
    <x v="1"/>
    <s v="East"/>
    <s v="Mobile"/>
    <s v="Organic"/>
    <s v="Premium"/>
    <n v="1"/>
    <n v="1"/>
    <n v="1"/>
    <n v="0"/>
    <n v="0"/>
    <n v="1"/>
    <n v="0"/>
    <n v="0"/>
    <n v="70.8"/>
  </r>
  <r>
    <x v="1100"/>
    <d v="2025-05-26T00:00:00"/>
    <x v="1"/>
    <s v="South"/>
    <s v="Mobile"/>
    <s v="Paid Search"/>
    <s v="Free"/>
    <n v="1"/>
    <n v="0"/>
    <n v="0"/>
    <n v="0"/>
    <n v="0"/>
    <n v="0"/>
    <n v="0"/>
    <n v="0"/>
    <n v="71.3"/>
  </r>
  <r>
    <x v="1101"/>
    <d v="2025-04-14T00:00:00"/>
    <x v="1"/>
    <s v="North"/>
    <s v="Mobile"/>
    <s v="Social"/>
    <s v="Premium"/>
    <n v="1"/>
    <n v="1"/>
    <n v="1"/>
    <n v="0"/>
    <n v="0"/>
    <n v="0"/>
    <n v="0"/>
    <n v="0"/>
    <n v="69.400000000000006"/>
  </r>
  <r>
    <x v="1102"/>
    <d v="2025-01-23T00:00:00"/>
    <x v="1"/>
    <s v="South"/>
    <s v="Mobile"/>
    <s v="Organic"/>
    <s v="Basic"/>
    <n v="1"/>
    <n v="1"/>
    <n v="0"/>
    <n v="0"/>
    <n v="0"/>
    <n v="0"/>
    <n v="0"/>
    <n v="0"/>
    <n v="58.9"/>
  </r>
  <r>
    <x v="1103"/>
    <d v="2025-01-06T00:00:00"/>
    <x v="1"/>
    <s v="East"/>
    <s v="Mobile"/>
    <s v="Referral"/>
    <s v="Free"/>
    <n v="0"/>
    <n v="0"/>
    <n v="0"/>
    <n v="0"/>
    <n v="0"/>
    <n v="0"/>
    <n v="0"/>
    <n v="0"/>
    <n v="70.7"/>
  </r>
  <r>
    <x v="1104"/>
    <d v="2025-05-31T00:00:00"/>
    <x v="1"/>
    <s v="West"/>
    <s v="Mobile"/>
    <s v="Email"/>
    <s v="Basic"/>
    <n v="1"/>
    <n v="0"/>
    <n v="0"/>
    <n v="0"/>
    <n v="0"/>
    <n v="0"/>
    <n v="0"/>
    <n v="0"/>
    <n v="60.5"/>
  </r>
  <r>
    <x v="1105"/>
    <d v="2025-05-19T00:00:00"/>
    <x v="1"/>
    <s v="North"/>
    <s v="Mobile"/>
    <s v="Organic"/>
    <s v="Basic"/>
    <n v="1"/>
    <n v="1"/>
    <n v="1"/>
    <n v="0"/>
    <n v="0"/>
    <n v="0"/>
    <n v="0"/>
    <n v="0"/>
    <n v="77.3"/>
  </r>
  <r>
    <x v="1106"/>
    <d v="2025-02-25T00:00:00"/>
    <x v="1"/>
    <s v="North"/>
    <s v="Mobile"/>
    <s v="Organic"/>
    <s v="Free"/>
    <n v="0"/>
    <n v="0"/>
    <n v="0"/>
    <n v="0"/>
    <n v="0"/>
    <n v="1"/>
    <n v="0"/>
    <n v="0"/>
    <n v="39.5"/>
  </r>
  <r>
    <x v="1107"/>
    <d v="2025-01-10T00:00:00"/>
    <x v="1"/>
    <s v="South"/>
    <s v="Tablet"/>
    <s v="Organic"/>
    <s v="Basic"/>
    <n v="1"/>
    <n v="0"/>
    <n v="0"/>
    <n v="0"/>
    <n v="0"/>
    <n v="0"/>
    <n v="0"/>
    <n v="0"/>
    <n v="68.099999999999994"/>
  </r>
  <r>
    <x v="1108"/>
    <d v="2025-05-13T00:00:00"/>
    <x v="1"/>
    <s v="North"/>
    <s v="Tablet"/>
    <s v="Paid Search"/>
    <s v="Free"/>
    <n v="0"/>
    <n v="0"/>
    <n v="0"/>
    <n v="0"/>
    <n v="0"/>
    <n v="0"/>
    <n v="0"/>
    <n v="0"/>
    <n v="80.3"/>
  </r>
  <r>
    <x v="1109"/>
    <d v="2025-04-27T00:00:00"/>
    <x v="1"/>
    <s v="West"/>
    <s v="Desktop"/>
    <s v="Organic"/>
    <s v="Premium"/>
    <n v="1"/>
    <n v="0"/>
    <n v="0"/>
    <n v="0"/>
    <n v="0"/>
    <n v="0"/>
    <n v="0"/>
    <n v="0"/>
    <n v="77.7"/>
  </r>
  <r>
    <x v="1110"/>
    <d v="2025-04-03T00:00:00"/>
    <x v="1"/>
    <s v="South"/>
    <s v="Mobile"/>
    <s v="Organic"/>
    <s v="Free"/>
    <n v="1"/>
    <n v="0"/>
    <n v="0"/>
    <n v="0"/>
    <n v="0"/>
    <n v="1"/>
    <n v="0"/>
    <n v="0"/>
    <n v="66.2"/>
  </r>
  <r>
    <x v="1111"/>
    <d v="2025-03-26T00:00:00"/>
    <x v="1"/>
    <s v="South"/>
    <s v="Mobile"/>
    <s v="Organic"/>
    <s v="Free"/>
    <n v="1"/>
    <n v="1"/>
    <n v="1"/>
    <n v="0"/>
    <n v="0"/>
    <n v="1"/>
    <n v="0"/>
    <n v="0"/>
    <n v="43.9"/>
  </r>
  <r>
    <x v="1112"/>
    <d v="2025-01-31T00:00:00"/>
    <x v="1"/>
    <s v="South"/>
    <s v="Mobile"/>
    <s v="Organic"/>
    <s v="Basic"/>
    <n v="1"/>
    <n v="1"/>
    <n v="1"/>
    <n v="0"/>
    <n v="0"/>
    <n v="2"/>
    <n v="0"/>
    <n v="0"/>
    <n v="59.1"/>
  </r>
  <r>
    <x v="1113"/>
    <d v="2025-01-25T00:00:00"/>
    <x v="1"/>
    <s v="South"/>
    <s v="Mobile"/>
    <s v="Social"/>
    <s v="Free"/>
    <n v="1"/>
    <n v="1"/>
    <n v="1"/>
    <n v="1"/>
    <n v="416.94"/>
    <n v="1"/>
    <n v="0"/>
    <n v="11"/>
    <n v="67"/>
  </r>
  <r>
    <x v="1114"/>
    <d v="2025-02-06T00:00:00"/>
    <x v="1"/>
    <s v="West"/>
    <s v="Mobile"/>
    <s v="Referral"/>
    <s v="Basic"/>
    <n v="1"/>
    <n v="0"/>
    <n v="0"/>
    <n v="0"/>
    <n v="0"/>
    <n v="0"/>
    <n v="0"/>
    <n v="0"/>
    <n v="47.9"/>
  </r>
  <r>
    <x v="1115"/>
    <d v="2025-03-10T00:00:00"/>
    <x v="1"/>
    <s v="East"/>
    <s v="Mobile"/>
    <s v="Paid Search"/>
    <s v="Free"/>
    <n v="1"/>
    <n v="1"/>
    <n v="0"/>
    <n v="0"/>
    <n v="0"/>
    <n v="0"/>
    <n v="0"/>
    <n v="0"/>
    <n v="41.5"/>
  </r>
  <r>
    <x v="1116"/>
    <d v="2025-01-26T00:00:00"/>
    <x v="1"/>
    <s v="West"/>
    <s v="Mobile"/>
    <s v="Organic"/>
    <s v="Basic"/>
    <n v="1"/>
    <n v="1"/>
    <n v="1"/>
    <n v="0"/>
    <n v="0"/>
    <n v="3"/>
    <n v="0"/>
    <n v="0"/>
    <n v="30.6"/>
  </r>
  <r>
    <x v="1117"/>
    <d v="2025-01-01T00:00:00"/>
    <x v="1"/>
    <s v="East"/>
    <s v="Mobile"/>
    <s v="Paid Search"/>
    <s v="Free"/>
    <n v="1"/>
    <n v="1"/>
    <n v="0"/>
    <n v="0"/>
    <n v="0"/>
    <n v="0"/>
    <n v="0"/>
    <n v="0"/>
    <n v="91.5"/>
  </r>
  <r>
    <x v="1118"/>
    <d v="2025-04-28T00:00:00"/>
    <x v="1"/>
    <s v="North"/>
    <s v="Desktop"/>
    <s v="Social"/>
    <s v="Basic"/>
    <n v="1"/>
    <n v="0"/>
    <n v="0"/>
    <n v="0"/>
    <n v="0"/>
    <n v="0"/>
    <n v="0"/>
    <n v="0"/>
    <n v="80.8"/>
  </r>
  <r>
    <x v="1119"/>
    <d v="2025-04-04T00:00:00"/>
    <x v="1"/>
    <s v="North"/>
    <s v="Mobile"/>
    <s v="Organic"/>
    <s v="Premium"/>
    <n v="1"/>
    <n v="0"/>
    <n v="0"/>
    <n v="0"/>
    <n v="0"/>
    <n v="0"/>
    <n v="0"/>
    <n v="0"/>
    <n v="68.099999999999994"/>
  </r>
  <r>
    <x v="1120"/>
    <d v="2025-03-02T00:00:00"/>
    <x v="1"/>
    <s v="East"/>
    <s v="Mobile"/>
    <s v="Paid Search"/>
    <s v="Free"/>
    <n v="1"/>
    <n v="0"/>
    <n v="0"/>
    <n v="0"/>
    <n v="0"/>
    <n v="0"/>
    <n v="0"/>
    <n v="0"/>
    <n v="80.3"/>
  </r>
  <r>
    <x v="1121"/>
    <d v="2025-03-19T00:00:00"/>
    <x v="1"/>
    <s v="South"/>
    <s v="Tablet"/>
    <s v="Organic"/>
    <s v="Basic"/>
    <n v="1"/>
    <n v="0"/>
    <n v="0"/>
    <n v="0"/>
    <n v="0"/>
    <n v="0"/>
    <n v="0"/>
    <n v="0"/>
    <n v="44.4"/>
  </r>
  <r>
    <x v="1122"/>
    <d v="2025-01-20T00:00:00"/>
    <x v="1"/>
    <s v="South"/>
    <s v="Desktop"/>
    <s v="Organic"/>
    <s v="Basic"/>
    <n v="0"/>
    <n v="0"/>
    <n v="0"/>
    <n v="0"/>
    <n v="0"/>
    <n v="0"/>
    <n v="0"/>
    <n v="0"/>
    <n v="51.9"/>
  </r>
  <r>
    <x v="1123"/>
    <d v="2025-04-03T00:00:00"/>
    <x v="1"/>
    <s v="East"/>
    <s v="Mobile"/>
    <s v="Paid Search"/>
    <s v="Free"/>
    <n v="1"/>
    <n v="1"/>
    <n v="0"/>
    <n v="0"/>
    <n v="0"/>
    <n v="0"/>
    <n v="0"/>
    <n v="0"/>
    <n v="49.8"/>
  </r>
  <r>
    <x v="1124"/>
    <d v="2025-01-11T00:00:00"/>
    <x v="1"/>
    <s v="East"/>
    <s v="Desktop"/>
    <s v="Social"/>
    <s v="Free"/>
    <n v="1"/>
    <n v="1"/>
    <n v="1"/>
    <n v="0"/>
    <n v="0"/>
    <n v="3"/>
    <n v="0"/>
    <n v="0"/>
    <n v="62.1"/>
  </r>
  <r>
    <x v="1125"/>
    <d v="2025-02-02T00:00:00"/>
    <x v="1"/>
    <s v="West"/>
    <s v="Desktop"/>
    <s v="Social"/>
    <s v="Basic"/>
    <n v="1"/>
    <n v="0"/>
    <n v="0"/>
    <n v="0"/>
    <n v="0"/>
    <n v="0"/>
    <n v="0"/>
    <n v="0"/>
    <n v="91.3"/>
  </r>
  <r>
    <x v="1126"/>
    <d v="2025-04-01T00:00:00"/>
    <x v="1"/>
    <s v="South"/>
    <s v="Mobile"/>
    <s v="Organic"/>
    <s v="Basic"/>
    <n v="1"/>
    <n v="0"/>
    <n v="0"/>
    <n v="0"/>
    <n v="0"/>
    <n v="0"/>
    <n v="0"/>
    <n v="0"/>
    <n v="66.400000000000006"/>
  </r>
  <r>
    <x v="1127"/>
    <d v="2025-05-22T00:00:00"/>
    <x v="1"/>
    <s v="East"/>
    <s v="Mobile"/>
    <s v="Organic"/>
    <s v="Basic"/>
    <n v="1"/>
    <n v="0"/>
    <n v="0"/>
    <n v="0"/>
    <n v="0"/>
    <n v="0"/>
    <n v="0"/>
    <n v="0"/>
    <n v="41.5"/>
  </r>
  <r>
    <x v="1128"/>
    <d v="2025-02-20T00:00:00"/>
    <x v="1"/>
    <s v="West"/>
    <s v="Mobile"/>
    <s v="Organic"/>
    <s v="Basic"/>
    <n v="0"/>
    <n v="0"/>
    <n v="0"/>
    <n v="0"/>
    <n v="0"/>
    <n v="0"/>
    <n v="0"/>
    <n v="0"/>
    <n v="77.099999999999994"/>
  </r>
  <r>
    <x v="1129"/>
    <d v="2025-03-21T00:00:00"/>
    <x v="1"/>
    <s v="West"/>
    <s v="Mobile"/>
    <s v="Organic"/>
    <s v="Free"/>
    <n v="1"/>
    <n v="0"/>
    <n v="0"/>
    <n v="0"/>
    <n v="0"/>
    <n v="0"/>
    <n v="0"/>
    <n v="0"/>
    <n v="63.2"/>
  </r>
  <r>
    <x v="1130"/>
    <d v="2025-05-01T00:00:00"/>
    <x v="1"/>
    <s v="West"/>
    <s v="Desktop"/>
    <s v="Referral"/>
    <s v="Free"/>
    <n v="1"/>
    <n v="1"/>
    <n v="1"/>
    <n v="0"/>
    <n v="0"/>
    <n v="3"/>
    <n v="0"/>
    <n v="0"/>
    <n v="75.7"/>
  </r>
  <r>
    <x v="1131"/>
    <d v="2025-01-06T00:00:00"/>
    <x v="1"/>
    <s v="West"/>
    <s v="Mobile"/>
    <s v="Paid Search"/>
    <s v="Basic"/>
    <n v="0"/>
    <n v="0"/>
    <n v="0"/>
    <n v="0"/>
    <n v="0"/>
    <n v="0"/>
    <n v="0"/>
    <n v="0"/>
    <n v="62.9"/>
  </r>
  <r>
    <x v="1132"/>
    <d v="2025-04-12T00:00:00"/>
    <x v="1"/>
    <s v="North"/>
    <s v="Desktop"/>
    <s v="Paid Search"/>
    <s v="Premium"/>
    <n v="1"/>
    <n v="0"/>
    <n v="0"/>
    <n v="0"/>
    <n v="0"/>
    <n v="3"/>
    <n v="0"/>
    <n v="0"/>
    <n v="64.599999999999994"/>
  </r>
  <r>
    <x v="1133"/>
    <d v="2025-04-18T00:00:00"/>
    <x v="1"/>
    <s v="North"/>
    <s v="Mobile"/>
    <s v="Unknown"/>
    <s v="Basic"/>
    <n v="1"/>
    <n v="0"/>
    <n v="0"/>
    <n v="0"/>
    <n v="0"/>
    <n v="0"/>
    <n v="0"/>
    <n v="0"/>
    <n v="76.599999999999994"/>
  </r>
  <r>
    <x v="1134"/>
    <d v="2025-03-24T00:00:00"/>
    <x v="1"/>
    <s v="East"/>
    <s v="Mobile"/>
    <s v="Social"/>
    <s v="Basic"/>
    <n v="1"/>
    <n v="0"/>
    <n v="0"/>
    <n v="0"/>
    <n v="0"/>
    <n v="0"/>
    <n v="0"/>
    <n v="0"/>
    <n v="74.8"/>
  </r>
  <r>
    <x v="1135"/>
    <d v="2025-03-18T00:00:00"/>
    <x v="1"/>
    <s v="East"/>
    <s v="Desktop"/>
    <s v="Email"/>
    <s v="Premium"/>
    <n v="1"/>
    <n v="0"/>
    <n v="0"/>
    <n v="0"/>
    <n v="0"/>
    <n v="2"/>
    <n v="0"/>
    <n v="0"/>
    <n v="38.1"/>
  </r>
  <r>
    <x v="1136"/>
    <d v="2025-04-30T00:00:00"/>
    <x v="1"/>
    <s v="South"/>
    <s v="Tablet"/>
    <s v="Paid Search"/>
    <s v="Basic"/>
    <n v="1"/>
    <n v="1"/>
    <n v="0"/>
    <n v="0"/>
    <n v="0"/>
    <n v="0"/>
    <n v="0"/>
    <n v="0"/>
    <n v="60.2"/>
  </r>
  <r>
    <x v="1137"/>
    <d v="2025-01-25T00:00:00"/>
    <x v="1"/>
    <s v="West"/>
    <s v="Mobile"/>
    <s v="Email"/>
    <s v="Free"/>
    <n v="1"/>
    <n v="1"/>
    <n v="0"/>
    <n v="0"/>
    <n v="0"/>
    <n v="0"/>
    <n v="0"/>
    <n v="0"/>
    <n v="73.5"/>
  </r>
  <r>
    <x v="1138"/>
    <d v="2025-04-10T00:00:00"/>
    <x v="1"/>
    <s v="South"/>
    <s v="Mobile"/>
    <s v="Organic"/>
    <s v="Free"/>
    <n v="1"/>
    <n v="0"/>
    <n v="0"/>
    <n v="0"/>
    <n v="0"/>
    <n v="0"/>
    <n v="0"/>
    <n v="0"/>
    <n v="70.900000000000006"/>
  </r>
  <r>
    <x v="1139"/>
    <d v="2025-01-10T00:00:00"/>
    <x v="1"/>
    <s v="West"/>
    <s v="Mobile"/>
    <s v="Social"/>
    <s v="Free"/>
    <n v="1"/>
    <n v="0"/>
    <n v="0"/>
    <n v="0"/>
    <n v="0"/>
    <n v="0"/>
    <n v="0"/>
    <n v="0"/>
    <n v="63.7"/>
  </r>
  <r>
    <x v="1140"/>
    <d v="2025-02-11T00:00:00"/>
    <x v="1"/>
    <s v="South"/>
    <s v="Mobile"/>
    <s v="Paid Search"/>
    <s v="Free"/>
    <n v="1"/>
    <n v="0"/>
    <n v="0"/>
    <n v="0"/>
    <n v="0"/>
    <n v="0"/>
    <n v="0"/>
    <n v="0"/>
    <n v="86.5"/>
  </r>
  <r>
    <x v="1141"/>
    <d v="2025-05-01T00:00:00"/>
    <x v="1"/>
    <s v="East"/>
    <s v="Mobile"/>
    <s v="Social"/>
    <s v="Basic"/>
    <n v="1"/>
    <n v="1"/>
    <n v="1"/>
    <n v="1"/>
    <n v="921.72"/>
    <n v="3"/>
    <n v="0"/>
    <n v="7"/>
    <n v="74.599999999999994"/>
  </r>
  <r>
    <x v="1142"/>
    <d v="2025-01-18T00:00:00"/>
    <x v="1"/>
    <s v="East"/>
    <s v="Mobile"/>
    <s v="Organic"/>
    <s v="Free"/>
    <n v="1"/>
    <n v="0"/>
    <n v="0"/>
    <n v="0"/>
    <n v="0"/>
    <n v="0"/>
    <n v="0"/>
    <n v="0"/>
    <n v="46.6"/>
  </r>
  <r>
    <x v="1143"/>
    <d v="2025-01-02T00:00:00"/>
    <x v="1"/>
    <s v="North"/>
    <s v="Mobile"/>
    <s v="Paid Search"/>
    <s v="Free"/>
    <n v="0"/>
    <n v="0"/>
    <n v="0"/>
    <n v="0"/>
    <n v="0"/>
    <n v="0"/>
    <n v="0"/>
    <n v="0"/>
    <n v="61.2"/>
  </r>
  <r>
    <x v="1144"/>
    <d v="2025-05-11T00:00:00"/>
    <x v="1"/>
    <s v="West"/>
    <s v="Mobile"/>
    <s v="Organic"/>
    <s v="Free"/>
    <n v="1"/>
    <n v="1"/>
    <n v="1"/>
    <n v="1"/>
    <n v="290.39"/>
    <n v="0"/>
    <n v="0"/>
    <n v="4"/>
    <n v="54.4"/>
  </r>
  <r>
    <x v="1145"/>
    <d v="2025-03-22T00:00:00"/>
    <x v="1"/>
    <s v="North"/>
    <s v="Mobile"/>
    <s v="Referral"/>
    <s v="Free"/>
    <n v="1"/>
    <n v="1"/>
    <n v="1"/>
    <n v="0"/>
    <n v="0"/>
    <n v="0"/>
    <n v="0"/>
    <n v="0"/>
    <n v="72"/>
  </r>
  <r>
    <x v="1146"/>
    <d v="2025-05-02T00:00:00"/>
    <x v="1"/>
    <s v="South"/>
    <s v="Mobile"/>
    <s v="Social"/>
    <s v="Premium"/>
    <n v="1"/>
    <n v="1"/>
    <n v="1"/>
    <n v="1"/>
    <n v="1858.85"/>
    <n v="0"/>
    <n v="0"/>
    <n v="8"/>
    <n v="88.6"/>
  </r>
  <r>
    <x v="1147"/>
    <d v="2025-05-26T00:00:00"/>
    <x v="1"/>
    <s v="East"/>
    <s v="Desktop"/>
    <s v="Unknown"/>
    <s v="Basic"/>
    <n v="1"/>
    <n v="0"/>
    <n v="0"/>
    <n v="0"/>
    <n v="0"/>
    <n v="0"/>
    <n v="0"/>
    <n v="0"/>
    <n v="77.599999999999994"/>
  </r>
  <r>
    <x v="1148"/>
    <d v="2025-03-13T00:00:00"/>
    <x v="1"/>
    <s v="South"/>
    <s v="Mobile"/>
    <s v="Organic"/>
    <s v="Basic"/>
    <n v="1"/>
    <n v="0"/>
    <n v="0"/>
    <n v="0"/>
    <n v="0"/>
    <n v="1"/>
    <n v="0"/>
    <n v="0"/>
    <n v="44.3"/>
  </r>
  <r>
    <x v="1149"/>
    <d v="2025-05-17T00:00:00"/>
    <x v="1"/>
    <s v="South"/>
    <s v="Desktop"/>
    <s v="Paid Search"/>
    <s v="Free"/>
    <n v="1"/>
    <n v="1"/>
    <n v="0"/>
    <n v="0"/>
    <n v="0"/>
    <n v="0"/>
    <n v="0"/>
    <n v="0"/>
    <n v="49"/>
  </r>
  <r>
    <x v="1150"/>
    <d v="2025-03-13T00:00:00"/>
    <x v="1"/>
    <s v="North"/>
    <s v="Desktop"/>
    <s v="Referral"/>
    <s v="Premium"/>
    <n v="1"/>
    <n v="0"/>
    <n v="0"/>
    <n v="0"/>
    <n v="0"/>
    <n v="0"/>
    <n v="0"/>
    <n v="0"/>
    <n v="53.9"/>
  </r>
  <r>
    <x v="1151"/>
    <d v="2025-02-11T00:00:00"/>
    <x v="1"/>
    <s v="East"/>
    <s v="Desktop"/>
    <s v="Organic"/>
    <s v="Basic"/>
    <n v="1"/>
    <n v="0"/>
    <n v="0"/>
    <n v="0"/>
    <n v="0"/>
    <n v="1"/>
    <n v="0"/>
    <n v="0"/>
    <n v="69"/>
  </r>
  <r>
    <x v="1152"/>
    <d v="2025-03-01T00:00:00"/>
    <x v="1"/>
    <s v="West"/>
    <s v="Mobile"/>
    <s v="Social"/>
    <s v="Free"/>
    <n v="0"/>
    <n v="0"/>
    <n v="0"/>
    <n v="0"/>
    <n v="0"/>
    <n v="0"/>
    <n v="0"/>
    <n v="0"/>
    <n v="37.4"/>
  </r>
  <r>
    <x v="1153"/>
    <d v="2025-04-15T00:00:00"/>
    <x v="1"/>
    <s v="West"/>
    <s v="Mobile"/>
    <s v="Organic"/>
    <s v="Basic"/>
    <n v="0"/>
    <n v="0"/>
    <n v="0"/>
    <n v="0"/>
    <n v="0"/>
    <n v="0"/>
    <n v="0"/>
    <n v="0"/>
    <n v="59"/>
  </r>
  <r>
    <x v="1154"/>
    <d v="2025-02-02T00:00:00"/>
    <x v="1"/>
    <s v="East"/>
    <s v="Mobile"/>
    <s v="Organic"/>
    <s v="Premium"/>
    <n v="1"/>
    <n v="0"/>
    <n v="0"/>
    <n v="0"/>
    <n v="0"/>
    <n v="0"/>
    <n v="0"/>
    <n v="0"/>
    <n v="60.8"/>
  </r>
  <r>
    <x v="1155"/>
    <d v="2025-05-19T00:00:00"/>
    <x v="1"/>
    <s v="South"/>
    <s v="Mobile"/>
    <s v="Email"/>
    <s v="Free"/>
    <n v="1"/>
    <n v="0"/>
    <n v="0"/>
    <n v="0"/>
    <n v="0"/>
    <n v="0"/>
    <n v="0"/>
    <n v="0"/>
    <n v="57.5"/>
  </r>
  <r>
    <x v="1156"/>
    <d v="2025-01-05T00:00:00"/>
    <x v="1"/>
    <s v="West"/>
    <s v="Mobile"/>
    <s v="Referral"/>
    <s v="Free"/>
    <n v="0"/>
    <n v="0"/>
    <n v="0"/>
    <n v="0"/>
    <n v="0"/>
    <n v="0"/>
    <n v="0"/>
    <n v="0"/>
    <n v="84.2"/>
  </r>
  <r>
    <x v="1157"/>
    <d v="2025-03-08T00:00:00"/>
    <x v="1"/>
    <s v="South"/>
    <s v="Mobile"/>
    <s v="Paid Search"/>
    <s v="Free"/>
    <n v="1"/>
    <n v="1"/>
    <n v="0"/>
    <n v="0"/>
    <n v="0"/>
    <n v="0"/>
    <n v="0"/>
    <n v="0"/>
    <n v="27.4"/>
  </r>
  <r>
    <x v="1158"/>
    <d v="2025-03-12T00:00:00"/>
    <x v="1"/>
    <s v="West"/>
    <s v="Mobile"/>
    <s v="Email"/>
    <s v="Basic"/>
    <n v="1"/>
    <n v="0"/>
    <n v="0"/>
    <n v="0"/>
    <n v="0"/>
    <n v="1"/>
    <n v="0"/>
    <n v="0"/>
    <n v="67.599999999999994"/>
  </r>
  <r>
    <x v="1159"/>
    <d v="2025-01-24T00:00:00"/>
    <x v="1"/>
    <s v="West"/>
    <s v="Mobile"/>
    <s v="Organic"/>
    <s v="Free"/>
    <n v="0"/>
    <n v="0"/>
    <n v="0"/>
    <n v="0"/>
    <n v="0"/>
    <n v="0"/>
    <n v="0"/>
    <n v="0"/>
    <n v="68.400000000000006"/>
  </r>
  <r>
    <x v="1160"/>
    <d v="2025-05-22T00:00:00"/>
    <x v="1"/>
    <s v="South"/>
    <s v="Mobile"/>
    <s v="Paid Search"/>
    <s v="Basic"/>
    <n v="1"/>
    <n v="1"/>
    <n v="1"/>
    <n v="0"/>
    <n v="0"/>
    <n v="0"/>
    <n v="0"/>
    <n v="0"/>
    <n v="66.5"/>
  </r>
  <r>
    <x v="1161"/>
    <d v="2025-03-27T00:00:00"/>
    <x v="1"/>
    <s v="South"/>
    <s v="Mobile"/>
    <s v="Paid Search"/>
    <s v="Free"/>
    <n v="1"/>
    <n v="0"/>
    <n v="0"/>
    <n v="0"/>
    <n v="0"/>
    <n v="0"/>
    <n v="0"/>
    <n v="0"/>
    <n v="38.200000000000003"/>
  </r>
  <r>
    <x v="1162"/>
    <d v="2025-01-02T00:00:00"/>
    <x v="1"/>
    <s v="West"/>
    <s v="Mobile"/>
    <s v="Social"/>
    <s v="Free"/>
    <n v="0"/>
    <n v="0"/>
    <n v="0"/>
    <n v="0"/>
    <n v="0"/>
    <n v="1"/>
    <n v="0"/>
    <n v="0"/>
    <n v="66.7"/>
  </r>
  <r>
    <x v="1163"/>
    <d v="2025-02-24T00:00:00"/>
    <x v="1"/>
    <s v="North"/>
    <s v="Mobile"/>
    <s v="Paid Search"/>
    <s v="Free"/>
    <n v="0"/>
    <n v="0"/>
    <n v="0"/>
    <n v="0"/>
    <n v="0"/>
    <n v="1"/>
    <n v="0"/>
    <n v="0"/>
    <n v="73.7"/>
  </r>
  <r>
    <x v="1164"/>
    <d v="2025-03-01T00:00:00"/>
    <x v="1"/>
    <s v="West"/>
    <s v="Desktop"/>
    <s v="Organic"/>
    <s v="Basic"/>
    <n v="1"/>
    <n v="1"/>
    <n v="1"/>
    <n v="0"/>
    <n v="0"/>
    <n v="0"/>
    <n v="0"/>
    <n v="0"/>
    <n v="63.9"/>
  </r>
  <r>
    <x v="1165"/>
    <d v="2025-03-26T00:00:00"/>
    <x v="1"/>
    <s v="South"/>
    <s v="Tablet"/>
    <s v="Organic"/>
    <s v="Basic"/>
    <n v="1"/>
    <n v="0"/>
    <n v="0"/>
    <n v="0"/>
    <n v="0"/>
    <n v="1"/>
    <n v="0"/>
    <n v="0"/>
    <n v="82.6"/>
  </r>
  <r>
    <x v="1166"/>
    <d v="2025-05-25T00:00:00"/>
    <x v="1"/>
    <s v="East"/>
    <s v="Mobile"/>
    <s v="Paid Search"/>
    <s v="Free"/>
    <n v="0"/>
    <n v="0"/>
    <n v="0"/>
    <n v="0"/>
    <n v="0"/>
    <n v="1"/>
    <n v="0"/>
    <n v="0"/>
    <n v="58.3"/>
  </r>
  <r>
    <x v="1167"/>
    <d v="2025-02-25T00:00:00"/>
    <x v="1"/>
    <s v="West"/>
    <s v="Mobile"/>
    <s v="Referral"/>
    <s v="Premium"/>
    <n v="1"/>
    <n v="1"/>
    <n v="1"/>
    <n v="1"/>
    <n v="1547.06"/>
    <n v="0"/>
    <n v="1"/>
    <n v="2"/>
    <n v="72.900000000000006"/>
  </r>
  <r>
    <x v="1168"/>
    <d v="2025-03-23T00:00:00"/>
    <x v="1"/>
    <s v="South"/>
    <s v="Mobile"/>
    <s v="Social"/>
    <s v="Free"/>
    <n v="1"/>
    <n v="1"/>
    <n v="1"/>
    <n v="0"/>
    <n v="0"/>
    <n v="2"/>
    <n v="0"/>
    <n v="0"/>
    <n v="53.5"/>
  </r>
  <r>
    <x v="1169"/>
    <d v="2025-04-21T00:00:00"/>
    <x v="1"/>
    <s v="West"/>
    <s v="Mobile"/>
    <s v="Referral"/>
    <s v="Free"/>
    <n v="1"/>
    <n v="0"/>
    <n v="0"/>
    <n v="0"/>
    <n v="0"/>
    <n v="0"/>
    <n v="0"/>
    <n v="0"/>
    <n v="54.8"/>
  </r>
  <r>
    <x v="1170"/>
    <d v="2025-05-21T00:00:00"/>
    <x v="1"/>
    <s v="North"/>
    <s v="Mobile"/>
    <s v="Organic"/>
    <s v="Premium"/>
    <n v="1"/>
    <n v="0"/>
    <n v="0"/>
    <n v="0"/>
    <n v="0"/>
    <n v="0"/>
    <n v="0"/>
    <n v="0"/>
    <n v="69.5"/>
  </r>
  <r>
    <x v="1171"/>
    <d v="2025-04-25T00:00:00"/>
    <x v="1"/>
    <s v="North"/>
    <s v="Desktop"/>
    <s v="Social"/>
    <s v="Free"/>
    <n v="1"/>
    <n v="0"/>
    <n v="0"/>
    <n v="0"/>
    <n v="0"/>
    <n v="1"/>
    <n v="0"/>
    <n v="0"/>
    <n v="71.3"/>
  </r>
  <r>
    <x v="1172"/>
    <d v="2025-05-23T00:00:00"/>
    <x v="1"/>
    <s v="West"/>
    <s v="Mobile"/>
    <s v="Referral"/>
    <s v="Basic"/>
    <n v="1"/>
    <n v="0"/>
    <n v="0"/>
    <n v="0"/>
    <n v="0"/>
    <n v="1"/>
    <n v="0"/>
    <n v="0"/>
    <n v="57.5"/>
  </r>
  <r>
    <x v="1173"/>
    <d v="2025-03-18T00:00:00"/>
    <x v="1"/>
    <s v="South"/>
    <s v="Mobile"/>
    <s v="Email"/>
    <s v="Free"/>
    <n v="1"/>
    <n v="0"/>
    <n v="0"/>
    <n v="0"/>
    <n v="0"/>
    <n v="4"/>
    <n v="0"/>
    <n v="0"/>
    <n v="50.9"/>
  </r>
  <r>
    <x v="1174"/>
    <d v="2025-01-03T00:00:00"/>
    <x v="1"/>
    <s v="South"/>
    <s v="Tablet"/>
    <s v="Organic"/>
    <s v="Free"/>
    <n v="1"/>
    <n v="1"/>
    <n v="1"/>
    <n v="0"/>
    <n v="0"/>
    <n v="0"/>
    <n v="0"/>
    <n v="0"/>
    <n v="69.3"/>
  </r>
  <r>
    <x v="1175"/>
    <d v="2025-02-08T00:00:00"/>
    <x v="1"/>
    <s v="West"/>
    <s v="Desktop"/>
    <s v="Organic"/>
    <s v="Free"/>
    <n v="1"/>
    <n v="0"/>
    <n v="0"/>
    <n v="0"/>
    <n v="0"/>
    <n v="0"/>
    <n v="0"/>
    <n v="0"/>
    <n v="50.1"/>
  </r>
  <r>
    <x v="1176"/>
    <d v="2025-02-04T00:00:00"/>
    <x v="1"/>
    <s v="East"/>
    <s v="Unknown"/>
    <s v="Paid Search"/>
    <s v="Basic"/>
    <n v="0"/>
    <n v="0"/>
    <n v="0"/>
    <n v="0"/>
    <n v="0"/>
    <n v="0"/>
    <n v="0"/>
    <n v="0"/>
    <n v="69.7"/>
  </r>
  <r>
    <x v="1177"/>
    <d v="2025-01-16T00:00:00"/>
    <x v="1"/>
    <s v="North"/>
    <s v="Mobile"/>
    <s v="Paid Search"/>
    <s v="Free"/>
    <n v="0"/>
    <n v="0"/>
    <n v="0"/>
    <n v="0"/>
    <n v="0"/>
    <n v="0"/>
    <n v="0"/>
    <n v="0"/>
    <n v="63.5"/>
  </r>
  <r>
    <x v="1178"/>
    <d v="2025-04-04T00:00:00"/>
    <x v="1"/>
    <s v="West"/>
    <s v="Desktop"/>
    <s v="Paid Search"/>
    <s v="Free"/>
    <n v="1"/>
    <n v="1"/>
    <n v="1"/>
    <n v="1"/>
    <n v="265.58999999999997"/>
    <n v="1"/>
    <n v="0"/>
    <n v="8"/>
    <n v="80.400000000000006"/>
  </r>
  <r>
    <x v="1179"/>
    <d v="2025-01-23T00:00:00"/>
    <x v="1"/>
    <s v="North"/>
    <s v="Desktop"/>
    <s v="Paid Search"/>
    <s v="Free"/>
    <n v="0"/>
    <n v="0"/>
    <n v="0"/>
    <n v="0"/>
    <n v="0"/>
    <n v="0"/>
    <n v="0"/>
    <n v="0"/>
    <n v="58.9"/>
  </r>
  <r>
    <x v="1180"/>
    <d v="2025-03-22T00:00:00"/>
    <x v="1"/>
    <s v="South"/>
    <s v="Desktop"/>
    <s v="Paid Search"/>
    <s v="Free"/>
    <n v="1"/>
    <n v="0"/>
    <n v="0"/>
    <n v="0"/>
    <n v="0"/>
    <n v="0"/>
    <n v="0"/>
    <n v="0"/>
    <n v="56.8"/>
  </r>
  <r>
    <x v="1181"/>
    <d v="2025-02-02T00:00:00"/>
    <x v="1"/>
    <s v="East"/>
    <s v="Tablet"/>
    <s v="Social"/>
    <s v="Premium"/>
    <n v="0"/>
    <n v="0"/>
    <n v="0"/>
    <n v="0"/>
    <n v="0"/>
    <n v="0"/>
    <n v="0"/>
    <n v="0"/>
    <n v="73.900000000000006"/>
  </r>
  <r>
    <x v="1182"/>
    <d v="2025-01-31T00:00:00"/>
    <x v="1"/>
    <s v="North"/>
    <s v="Desktop"/>
    <s v="Paid Search"/>
    <s v="Free"/>
    <n v="0"/>
    <n v="0"/>
    <n v="0"/>
    <n v="0"/>
    <n v="0"/>
    <n v="0"/>
    <n v="0"/>
    <n v="0"/>
    <n v="76.3"/>
  </r>
  <r>
    <x v="1183"/>
    <d v="2025-05-27T00:00:00"/>
    <x v="1"/>
    <s v="West"/>
    <s v="Mobile"/>
    <s v="Organic"/>
    <s v="Basic"/>
    <n v="1"/>
    <n v="0"/>
    <n v="0"/>
    <n v="0"/>
    <n v="0"/>
    <n v="0"/>
    <n v="0"/>
    <n v="0"/>
    <n v="56.9"/>
  </r>
  <r>
    <x v="1184"/>
    <d v="2025-05-07T00:00:00"/>
    <x v="1"/>
    <s v="North"/>
    <s v="Mobile"/>
    <s v="Organic"/>
    <s v="Premium"/>
    <n v="1"/>
    <n v="0"/>
    <n v="0"/>
    <n v="0"/>
    <n v="0"/>
    <n v="2"/>
    <n v="0"/>
    <n v="0"/>
    <n v="49.4"/>
  </r>
  <r>
    <x v="1185"/>
    <d v="2025-05-08T00:00:00"/>
    <x v="1"/>
    <s v="North"/>
    <s v="Desktop"/>
    <s v="Paid Search"/>
    <s v="Basic"/>
    <n v="1"/>
    <n v="0"/>
    <n v="0"/>
    <n v="0"/>
    <n v="0"/>
    <n v="0"/>
    <n v="0"/>
    <n v="0"/>
    <n v="86.7"/>
  </r>
  <r>
    <x v="1186"/>
    <d v="2025-01-15T00:00:00"/>
    <x v="1"/>
    <s v="West"/>
    <s v="Desktop"/>
    <s v="Email"/>
    <s v="Free"/>
    <n v="1"/>
    <n v="0"/>
    <n v="0"/>
    <n v="0"/>
    <n v="0"/>
    <n v="3"/>
    <n v="0"/>
    <n v="0"/>
    <n v="69"/>
  </r>
  <r>
    <x v="1187"/>
    <d v="2025-01-18T00:00:00"/>
    <x v="1"/>
    <s v="North"/>
    <s v="Mobile"/>
    <s v="Paid Search"/>
    <s v="Free"/>
    <n v="0"/>
    <n v="0"/>
    <n v="0"/>
    <n v="0"/>
    <n v="0"/>
    <n v="0"/>
    <n v="0"/>
    <n v="0"/>
    <n v="84.5"/>
  </r>
  <r>
    <x v="1188"/>
    <d v="2025-04-16T00:00:00"/>
    <x v="1"/>
    <s v="East"/>
    <s v="Unknown"/>
    <s v="Referral"/>
    <s v="Free"/>
    <n v="1"/>
    <n v="0"/>
    <n v="0"/>
    <n v="0"/>
    <n v="0"/>
    <n v="0"/>
    <n v="0"/>
    <n v="0"/>
    <n v="66.3"/>
  </r>
  <r>
    <x v="1189"/>
    <d v="2025-02-16T00:00:00"/>
    <x v="1"/>
    <s v="East"/>
    <s v="Desktop"/>
    <s v="Paid Search"/>
    <s v="Free"/>
    <n v="0"/>
    <n v="0"/>
    <n v="0"/>
    <n v="0"/>
    <n v="0"/>
    <n v="0"/>
    <n v="0"/>
    <n v="0"/>
    <n v="52.2"/>
  </r>
  <r>
    <x v="1190"/>
    <d v="2025-04-17T00:00:00"/>
    <x v="1"/>
    <s v="South"/>
    <s v="Desktop"/>
    <s v="Referral"/>
    <s v="Premium"/>
    <n v="1"/>
    <n v="1"/>
    <n v="1"/>
    <n v="0"/>
    <n v="0"/>
    <n v="0"/>
    <n v="0"/>
    <n v="0"/>
    <n v="81.2"/>
  </r>
  <r>
    <x v="1191"/>
    <d v="2025-04-30T00:00:00"/>
    <x v="1"/>
    <s v="South"/>
    <s v="Mobile"/>
    <s v="Organic"/>
    <s v="Basic"/>
    <n v="0"/>
    <n v="0"/>
    <n v="0"/>
    <n v="0"/>
    <n v="0"/>
    <n v="0"/>
    <n v="0"/>
    <n v="0"/>
    <n v="53.9"/>
  </r>
  <r>
    <x v="1192"/>
    <d v="2025-01-29T00:00:00"/>
    <x v="1"/>
    <s v="West"/>
    <s v="Mobile"/>
    <s v="Social"/>
    <s v="Premium"/>
    <n v="0"/>
    <n v="0"/>
    <n v="0"/>
    <n v="0"/>
    <n v="0"/>
    <n v="0"/>
    <n v="0"/>
    <n v="0"/>
    <n v="39.1"/>
  </r>
  <r>
    <x v="1193"/>
    <d v="2025-01-11T00:00:00"/>
    <x v="1"/>
    <s v="North"/>
    <s v="Mobile"/>
    <s v="Social"/>
    <s v="Basic"/>
    <n v="0"/>
    <n v="0"/>
    <n v="0"/>
    <n v="0"/>
    <n v="0"/>
    <n v="0"/>
    <n v="0"/>
    <n v="0"/>
    <n v="57.3"/>
  </r>
  <r>
    <x v="1194"/>
    <d v="2025-04-08T00:00:00"/>
    <x v="1"/>
    <s v="East"/>
    <s v="Desktop"/>
    <s v="Paid Search"/>
    <s v="Premium"/>
    <n v="1"/>
    <n v="0"/>
    <n v="0"/>
    <n v="0"/>
    <n v="0"/>
    <n v="1"/>
    <n v="0"/>
    <n v="0"/>
    <n v="65.900000000000006"/>
  </r>
  <r>
    <x v="1195"/>
    <d v="2025-02-22T00:00:00"/>
    <x v="1"/>
    <s v="North"/>
    <s v="Unknown"/>
    <s v="Social"/>
    <s v="Free"/>
    <n v="1"/>
    <n v="0"/>
    <n v="0"/>
    <n v="0"/>
    <n v="0"/>
    <n v="1"/>
    <n v="0"/>
    <n v="0"/>
    <n v="34.200000000000003"/>
  </r>
  <r>
    <x v="1196"/>
    <d v="2025-03-23T00:00:00"/>
    <x v="1"/>
    <s v="South"/>
    <s v="Mobile"/>
    <s v="Organic"/>
    <s v="Free"/>
    <n v="0"/>
    <n v="0"/>
    <n v="0"/>
    <n v="0"/>
    <n v="0"/>
    <n v="0"/>
    <n v="0"/>
    <n v="0"/>
    <n v="47.2"/>
  </r>
  <r>
    <x v="1197"/>
    <d v="2025-05-23T00:00:00"/>
    <x v="1"/>
    <s v="South"/>
    <s v="Tablet"/>
    <s v="Paid Search"/>
    <s v="Free"/>
    <n v="1"/>
    <n v="0"/>
    <n v="0"/>
    <n v="0"/>
    <n v="0"/>
    <n v="1"/>
    <n v="0"/>
    <n v="0"/>
    <n v="55"/>
  </r>
  <r>
    <x v="1198"/>
    <d v="2025-04-27T00:00:00"/>
    <x v="1"/>
    <s v="West"/>
    <s v="Mobile"/>
    <s v="Referral"/>
    <s v="Basic"/>
    <n v="1"/>
    <n v="1"/>
    <n v="1"/>
    <n v="0"/>
    <n v="0"/>
    <n v="0"/>
    <n v="0"/>
    <n v="0"/>
    <n v="76.400000000000006"/>
  </r>
  <r>
    <x v="1199"/>
    <d v="2025-05-26T00:00:00"/>
    <x v="1"/>
    <s v="North"/>
    <s v="Mobile"/>
    <s v="Referral"/>
    <s v="Free"/>
    <n v="1"/>
    <n v="0"/>
    <n v="0"/>
    <n v="0"/>
    <n v="0"/>
    <n v="0"/>
    <n v="0"/>
    <n v="0"/>
    <n v="70.8"/>
  </r>
  <r>
    <x v="1200"/>
    <d v="2025-03-06T00:00:00"/>
    <x v="1"/>
    <s v="East"/>
    <s v="Mobile"/>
    <s v="Paid Search"/>
    <s v="Basic"/>
    <n v="1"/>
    <n v="1"/>
    <n v="0"/>
    <n v="0"/>
    <n v="0"/>
    <n v="1"/>
    <n v="0"/>
    <n v="0"/>
    <n v="58"/>
  </r>
  <r>
    <x v="1201"/>
    <d v="2025-04-03T00:00:00"/>
    <x v="1"/>
    <s v="West"/>
    <s v="Mobile"/>
    <s v="Organic"/>
    <s v="Basic"/>
    <n v="1"/>
    <n v="1"/>
    <n v="1"/>
    <n v="0"/>
    <n v="0"/>
    <n v="1"/>
    <n v="0"/>
    <n v="0"/>
    <n v="70.8"/>
  </r>
  <r>
    <x v="1202"/>
    <d v="2025-02-01T00:00:00"/>
    <x v="1"/>
    <s v="East"/>
    <s v="Desktop"/>
    <s v="Paid Search"/>
    <s v="Free"/>
    <n v="1"/>
    <n v="0"/>
    <n v="0"/>
    <n v="0"/>
    <n v="0"/>
    <n v="3"/>
    <n v="0"/>
    <n v="0"/>
    <n v="60"/>
  </r>
  <r>
    <x v="1203"/>
    <d v="2025-05-01T00:00:00"/>
    <x v="1"/>
    <s v="West"/>
    <s v="Mobile"/>
    <s v="Referral"/>
    <s v="Premium"/>
    <n v="1"/>
    <n v="1"/>
    <n v="1"/>
    <n v="0"/>
    <n v="0"/>
    <n v="3"/>
    <n v="0"/>
    <n v="0"/>
    <n v="58.1"/>
  </r>
  <r>
    <x v="1204"/>
    <d v="2025-04-13T00:00:00"/>
    <x v="1"/>
    <s v="North"/>
    <s v="Mobile"/>
    <s v="Social"/>
    <s v="Premium"/>
    <n v="0"/>
    <n v="0"/>
    <n v="0"/>
    <n v="0"/>
    <n v="0"/>
    <n v="0"/>
    <n v="0"/>
    <n v="0"/>
    <n v="59.7"/>
  </r>
  <r>
    <x v="1205"/>
    <d v="2025-01-25T00:00:00"/>
    <x v="1"/>
    <s v="East"/>
    <s v="Mobile"/>
    <s v="Social"/>
    <s v="Free"/>
    <n v="0"/>
    <n v="0"/>
    <n v="0"/>
    <n v="0"/>
    <n v="0"/>
    <n v="0"/>
    <n v="0"/>
    <n v="0"/>
    <n v="47.7"/>
  </r>
  <r>
    <x v="1206"/>
    <d v="2025-03-17T00:00:00"/>
    <x v="1"/>
    <s v="North"/>
    <s v="Mobile"/>
    <s v="Organic"/>
    <s v="Free"/>
    <n v="0"/>
    <n v="0"/>
    <n v="0"/>
    <n v="0"/>
    <n v="0"/>
    <n v="0"/>
    <n v="0"/>
    <n v="0"/>
    <n v="59.1"/>
  </r>
  <r>
    <x v="1207"/>
    <d v="2025-02-21T00:00:00"/>
    <x v="1"/>
    <s v="West"/>
    <s v="Desktop"/>
    <s v="Social"/>
    <s v="Basic"/>
    <n v="1"/>
    <n v="0"/>
    <n v="0"/>
    <n v="0"/>
    <n v="0"/>
    <n v="1"/>
    <n v="0"/>
    <n v="0"/>
    <n v="68.7"/>
  </r>
  <r>
    <x v="1208"/>
    <d v="2025-04-08T00:00:00"/>
    <x v="1"/>
    <s v="East"/>
    <s v="Tablet"/>
    <s v="Organic"/>
    <s v="Basic"/>
    <n v="0"/>
    <n v="0"/>
    <n v="0"/>
    <n v="0"/>
    <n v="0"/>
    <n v="0"/>
    <n v="0"/>
    <n v="0"/>
    <n v="34.700000000000003"/>
  </r>
  <r>
    <x v="1209"/>
    <d v="2025-02-24T00:00:00"/>
    <x v="1"/>
    <s v="West"/>
    <s v="Mobile"/>
    <s v="Organic"/>
    <s v="Basic"/>
    <n v="1"/>
    <n v="0"/>
    <n v="0"/>
    <n v="0"/>
    <n v="0"/>
    <n v="0"/>
    <n v="0"/>
    <n v="0"/>
    <n v="62"/>
  </r>
  <r>
    <x v="1210"/>
    <d v="2025-05-29T00:00:00"/>
    <x v="1"/>
    <s v="South"/>
    <s v="Mobile"/>
    <s v="Organic"/>
    <s v="Free"/>
    <n v="1"/>
    <n v="1"/>
    <n v="0"/>
    <n v="0"/>
    <n v="0"/>
    <n v="0"/>
    <n v="0"/>
    <n v="0"/>
    <n v="56"/>
  </r>
  <r>
    <x v="1211"/>
    <d v="2025-05-30T00:00:00"/>
    <x v="1"/>
    <s v="North"/>
    <s v="Mobile"/>
    <s v="Email"/>
    <s v="Basic"/>
    <n v="1"/>
    <n v="0"/>
    <n v="0"/>
    <n v="0"/>
    <n v="0"/>
    <n v="1"/>
    <n v="0"/>
    <n v="0"/>
    <n v="65.8"/>
  </r>
  <r>
    <x v="1212"/>
    <d v="2025-01-24T00:00:00"/>
    <x v="1"/>
    <s v="North"/>
    <s v="Desktop"/>
    <s v="Organic"/>
    <s v="Premium"/>
    <n v="0"/>
    <n v="0"/>
    <n v="0"/>
    <n v="0"/>
    <n v="0"/>
    <n v="0"/>
    <n v="0"/>
    <n v="0"/>
    <n v="54.7"/>
  </r>
  <r>
    <x v="1213"/>
    <d v="2025-05-12T00:00:00"/>
    <x v="1"/>
    <s v="South"/>
    <s v="Mobile"/>
    <s v="Organic"/>
    <s v="Basic"/>
    <n v="1"/>
    <n v="1"/>
    <n v="0"/>
    <n v="0"/>
    <n v="0"/>
    <n v="0"/>
    <n v="0"/>
    <n v="0"/>
    <n v="64.099999999999994"/>
  </r>
  <r>
    <x v="1214"/>
    <d v="2025-03-28T00:00:00"/>
    <x v="1"/>
    <s v="South"/>
    <s v="Mobile"/>
    <s v="Organic"/>
    <s v="Basic"/>
    <n v="1"/>
    <n v="1"/>
    <n v="1"/>
    <n v="0"/>
    <n v="0"/>
    <n v="0"/>
    <n v="0"/>
    <n v="0"/>
    <n v="71.599999999999994"/>
  </r>
  <r>
    <x v="1215"/>
    <d v="2025-04-14T00:00:00"/>
    <x v="1"/>
    <s v="North"/>
    <s v="Mobile"/>
    <s v="Referral"/>
    <s v="Basic"/>
    <n v="1"/>
    <n v="0"/>
    <n v="0"/>
    <n v="0"/>
    <n v="0"/>
    <n v="0"/>
    <n v="0"/>
    <n v="0"/>
    <n v="78.400000000000006"/>
  </r>
  <r>
    <x v="1216"/>
    <d v="2025-01-28T00:00:00"/>
    <x v="1"/>
    <s v="East"/>
    <s v="Tablet"/>
    <s v="Referral"/>
    <s v="Basic"/>
    <n v="0"/>
    <n v="0"/>
    <n v="0"/>
    <n v="0"/>
    <n v="0"/>
    <n v="0"/>
    <n v="0"/>
    <n v="0"/>
    <n v="49.3"/>
  </r>
  <r>
    <x v="1217"/>
    <d v="2025-05-21T00:00:00"/>
    <x v="1"/>
    <s v="North"/>
    <s v="Mobile"/>
    <s v="Organic"/>
    <s v="Basic"/>
    <n v="0"/>
    <n v="0"/>
    <n v="0"/>
    <n v="0"/>
    <n v="0"/>
    <n v="0"/>
    <n v="0"/>
    <n v="0"/>
    <n v="52.8"/>
  </r>
  <r>
    <x v="1218"/>
    <d v="2025-05-11T00:00:00"/>
    <x v="1"/>
    <s v="West"/>
    <s v="Desktop"/>
    <s v="Organic"/>
    <s v="Free"/>
    <n v="0"/>
    <n v="0"/>
    <n v="0"/>
    <n v="0"/>
    <n v="0"/>
    <n v="0"/>
    <n v="0"/>
    <n v="0"/>
    <n v="58.5"/>
  </r>
  <r>
    <x v="1219"/>
    <d v="2025-02-02T00:00:00"/>
    <x v="1"/>
    <s v="South"/>
    <s v="Mobile"/>
    <s v="Paid Search"/>
    <s v="Free"/>
    <n v="1"/>
    <n v="0"/>
    <n v="0"/>
    <n v="0"/>
    <n v="0"/>
    <n v="0"/>
    <n v="0"/>
    <n v="0"/>
    <n v="55.9"/>
  </r>
  <r>
    <x v="1220"/>
    <d v="2025-02-26T00:00:00"/>
    <x v="1"/>
    <s v="North"/>
    <s v="Mobile"/>
    <s v="Social"/>
    <s v="Free"/>
    <n v="1"/>
    <n v="1"/>
    <n v="1"/>
    <n v="1"/>
    <n v="351.43"/>
    <n v="1"/>
    <n v="0"/>
    <n v="6"/>
    <n v="74.900000000000006"/>
  </r>
  <r>
    <x v="1221"/>
    <d v="2025-02-27T00:00:00"/>
    <x v="1"/>
    <s v="South"/>
    <s v="Desktop"/>
    <s v="Referral"/>
    <s v="Free"/>
    <n v="1"/>
    <n v="1"/>
    <n v="1"/>
    <n v="1"/>
    <n v="352.42"/>
    <n v="0"/>
    <n v="0"/>
    <n v="4"/>
    <n v="58.5"/>
  </r>
  <r>
    <x v="1222"/>
    <d v="2025-03-09T00:00:00"/>
    <x v="1"/>
    <s v="West"/>
    <s v="Mobile"/>
    <s v="Organic"/>
    <s v="Free"/>
    <n v="0"/>
    <n v="0"/>
    <n v="0"/>
    <n v="0"/>
    <n v="0"/>
    <n v="0"/>
    <n v="0"/>
    <n v="0"/>
    <n v="63.5"/>
  </r>
  <r>
    <x v="1223"/>
    <d v="2025-02-07T00:00:00"/>
    <x v="1"/>
    <s v="North"/>
    <s v="Mobile"/>
    <s v="Paid Search"/>
    <s v="Basic"/>
    <n v="1"/>
    <n v="0"/>
    <n v="0"/>
    <n v="0"/>
    <n v="0"/>
    <n v="1"/>
    <n v="0"/>
    <n v="0"/>
    <n v="64.8"/>
  </r>
  <r>
    <x v="1224"/>
    <d v="2025-01-31T00:00:00"/>
    <x v="1"/>
    <s v="West"/>
    <s v="Mobile"/>
    <s v="Social"/>
    <s v="Free"/>
    <n v="0"/>
    <n v="0"/>
    <n v="0"/>
    <n v="0"/>
    <n v="0"/>
    <n v="0"/>
    <n v="0"/>
    <n v="0"/>
    <n v="63.3"/>
  </r>
  <r>
    <x v="1225"/>
    <d v="2025-02-14T00:00:00"/>
    <x v="1"/>
    <s v="North"/>
    <s v="Tablet"/>
    <s v="Paid Search"/>
    <s v="Basic"/>
    <n v="1"/>
    <n v="1"/>
    <n v="1"/>
    <n v="1"/>
    <n v="1074.1600000000001"/>
    <n v="0"/>
    <n v="0"/>
    <n v="8"/>
    <n v="83.7"/>
  </r>
  <r>
    <x v="1226"/>
    <d v="2025-02-12T00:00:00"/>
    <x v="1"/>
    <s v="South"/>
    <s v="Desktop"/>
    <s v="Social"/>
    <s v="Basic"/>
    <n v="0"/>
    <n v="0"/>
    <n v="0"/>
    <n v="0"/>
    <n v="0"/>
    <n v="0"/>
    <n v="0"/>
    <n v="0"/>
    <n v="88.7"/>
  </r>
  <r>
    <x v="1227"/>
    <d v="2025-03-23T00:00:00"/>
    <x v="1"/>
    <s v="East"/>
    <s v="Unknown"/>
    <s v="Paid Search"/>
    <s v="Free"/>
    <n v="1"/>
    <n v="0"/>
    <n v="0"/>
    <n v="0"/>
    <n v="0"/>
    <n v="1"/>
    <n v="0"/>
    <n v="0"/>
    <n v="61.5"/>
  </r>
  <r>
    <x v="1228"/>
    <d v="2025-03-18T00:00:00"/>
    <x v="1"/>
    <s v="West"/>
    <s v="Mobile"/>
    <s v="Paid Search"/>
    <s v="Free"/>
    <n v="0"/>
    <n v="0"/>
    <n v="0"/>
    <n v="0"/>
    <n v="0"/>
    <n v="0"/>
    <n v="0"/>
    <n v="0"/>
    <n v="45.3"/>
  </r>
  <r>
    <x v="1229"/>
    <d v="2025-05-17T00:00:00"/>
    <x v="1"/>
    <s v="North"/>
    <s v="Mobile"/>
    <s v="Social"/>
    <s v="Free"/>
    <n v="1"/>
    <n v="0"/>
    <n v="0"/>
    <n v="0"/>
    <n v="0"/>
    <n v="0"/>
    <n v="0"/>
    <n v="0"/>
    <n v="37.299999999999997"/>
  </r>
  <r>
    <x v="1230"/>
    <d v="2025-03-26T00:00:00"/>
    <x v="1"/>
    <s v="West"/>
    <s v="Desktop"/>
    <s v="Social"/>
    <s v="Premium"/>
    <n v="1"/>
    <n v="0"/>
    <n v="0"/>
    <n v="0"/>
    <n v="0"/>
    <n v="1"/>
    <n v="0"/>
    <n v="0"/>
    <n v="76.099999999999994"/>
  </r>
  <r>
    <x v="1231"/>
    <d v="2025-03-30T00:00:00"/>
    <x v="1"/>
    <s v="East"/>
    <s v="Mobile"/>
    <s v="Organic"/>
    <s v="Free"/>
    <n v="1"/>
    <n v="1"/>
    <n v="1"/>
    <n v="0"/>
    <n v="0"/>
    <n v="1"/>
    <n v="0"/>
    <n v="0"/>
    <n v="72.5"/>
  </r>
  <r>
    <x v="1232"/>
    <d v="2025-02-25T00:00:00"/>
    <x v="1"/>
    <s v="East"/>
    <s v="Desktop"/>
    <s v="Organic"/>
    <s v="Free"/>
    <n v="1"/>
    <n v="0"/>
    <n v="0"/>
    <n v="0"/>
    <n v="0"/>
    <n v="0"/>
    <n v="0"/>
    <n v="0"/>
    <n v="62.3"/>
  </r>
  <r>
    <x v="1233"/>
    <d v="2025-03-01T00:00:00"/>
    <x v="1"/>
    <s v="East"/>
    <s v="Desktop"/>
    <s v="Social"/>
    <s v="Free"/>
    <n v="0"/>
    <n v="0"/>
    <n v="0"/>
    <n v="0"/>
    <n v="0"/>
    <n v="0"/>
    <n v="0"/>
    <n v="0"/>
    <n v="62.7"/>
  </r>
  <r>
    <x v="1234"/>
    <d v="2025-05-27T00:00:00"/>
    <x v="1"/>
    <s v="North"/>
    <s v="Mobile"/>
    <s v="Paid Search"/>
    <s v="Basic"/>
    <n v="0"/>
    <n v="0"/>
    <n v="0"/>
    <n v="0"/>
    <n v="0"/>
    <n v="0"/>
    <n v="0"/>
    <n v="0"/>
    <n v="82.4"/>
  </r>
  <r>
    <x v="1235"/>
    <d v="2025-02-05T00:00:00"/>
    <x v="1"/>
    <s v="West"/>
    <s v="Mobile"/>
    <s v="Unknown"/>
    <s v="Premium"/>
    <n v="1"/>
    <n v="0"/>
    <n v="0"/>
    <n v="0"/>
    <n v="0"/>
    <n v="0"/>
    <n v="0"/>
    <n v="0"/>
    <n v="78.900000000000006"/>
  </r>
  <r>
    <x v="1236"/>
    <d v="2025-01-25T00:00:00"/>
    <x v="1"/>
    <s v="West"/>
    <s v="Desktop"/>
    <s v="Email"/>
    <s v="Free"/>
    <n v="1"/>
    <n v="1"/>
    <n v="1"/>
    <n v="1"/>
    <n v="618.91"/>
    <n v="0"/>
    <n v="0"/>
    <n v="4"/>
    <n v="67.8"/>
  </r>
  <r>
    <x v="1237"/>
    <d v="2025-04-10T00:00:00"/>
    <x v="1"/>
    <s v="East"/>
    <s v="Mobile"/>
    <s v="Organic"/>
    <s v="Premium"/>
    <n v="1"/>
    <n v="0"/>
    <n v="0"/>
    <n v="0"/>
    <n v="0"/>
    <n v="0"/>
    <n v="0"/>
    <n v="0"/>
    <n v="68.8"/>
  </r>
  <r>
    <x v="1238"/>
    <d v="2025-01-10T00:00:00"/>
    <x v="1"/>
    <s v="East"/>
    <s v="Mobile"/>
    <s v="Organic"/>
    <s v="Premium"/>
    <n v="1"/>
    <n v="0"/>
    <n v="0"/>
    <n v="0"/>
    <n v="0"/>
    <n v="0"/>
    <n v="0"/>
    <n v="0"/>
    <n v="67.7"/>
  </r>
  <r>
    <x v="1239"/>
    <d v="2025-02-23T00:00:00"/>
    <x v="1"/>
    <s v="East"/>
    <s v="Mobile"/>
    <s v="Unknown"/>
    <s v="Free"/>
    <n v="0"/>
    <n v="0"/>
    <n v="0"/>
    <n v="0"/>
    <n v="0"/>
    <n v="0"/>
    <n v="0"/>
    <n v="0"/>
    <n v="88"/>
  </r>
  <r>
    <x v="1240"/>
    <d v="2025-05-23T00:00:00"/>
    <x v="1"/>
    <s v="West"/>
    <s v="Desktop"/>
    <s v="Organic"/>
    <s v="Basic"/>
    <n v="1"/>
    <n v="1"/>
    <n v="0"/>
    <n v="0"/>
    <n v="0"/>
    <n v="0"/>
    <n v="0"/>
    <n v="0"/>
    <n v="80.099999999999994"/>
  </r>
  <r>
    <x v="1241"/>
    <d v="2025-03-08T00:00:00"/>
    <x v="1"/>
    <s v="North"/>
    <s v="Tablet"/>
    <s v="Email"/>
    <s v="Basic"/>
    <n v="0"/>
    <n v="0"/>
    <n v="0"/>
    <n v="0"/>
    <n v="0"/>
    <n v="1"/>
    <n v="0"/>
    <n v="0"/>
    <n v="48.2"/>
  </r>
  <r>
    <x v="1242"/>
    <d v="2025-05-21T00:00:00"/>
    <x v="1"/>
    <s v="East"/>
    <s v="Mobile"/>
    <s v="Organic"/>
    <s v="Basic"/>
    <n v="1"/>
    <n v="0"/>
    <n v="0"/>
    <n v="0"/>
    <n v="0"/>
    <n v="0"/>
    <n v="0"/>
    <n v="0"/>
    <n v="52.7"/>
  </r>
  <r>
    <x v="1243"/>
    <d v="2025-04-22T00:00:00"/>
    <x v="1"/>
    <s v="North"/>
    <s v="Mobile"/>
    <s v="Email"/>
    <s v="Basic"/>
    <n v="1"/>
    <n v="1"/>
    <n v="0"/>
    <n v="0"/>
    <n v="0"/>
    <n v="0"/>
    <n v="0"/>
    <n v="0"/>
    <n v="59.9"/>
  </r>
  <r>
    <x v="1244"/>
    <d v="2025-04-16T00:00:00"/>
    <x v="1"/>
    <s v="North"/>
    <s v="Mobile"/>
    <s v="Email"/>
    <s v="Premium"/>
    <n v="1"/>
    <n v="0"/>
    <n v="0"/>
    <n v="0"/>
    <n v="0"/>
    <n v="0"/>
    <n v="0"/>
    <n v="0"/>
    <n v="49.5"/>
  </r>
  <r>
    <x v="1245"/>
    <d v="2025-05-08T00:00:00"/>
    <x v="1"/>
    <s v="North"/>
    <s v="Tablet"/>
    <s v="Organic"/>
    <s v="Free"/>
    <n v="1"/>
    <n v="0"/>
    <n v="0"/>
    <n v="0"/>
    <n v="0"/>
    <n v="0"/>
    <n v="0"/>
    <n v="0"/>
    <n v="41.5"/>
  </r>
  <r>
    <x v="1246"/>
    <d v="2025-05-22T00:00:00"/>
    <x v="1"/>
    <s v="North"/>
    <s v="Mobile"/>
    <s v="Paid Search"/>
    <s v="Basic"/>
    <n v="1"/>
    <n v="0"/>
    <n v="0"/>
    <n v="0"/>
    <n v="0"/>
    <n v="0"/>
    <n v="0"/>
    <n v="0"/>
    <n v="71.2"/>
  </r>
  <r>
    <x v="1247"/>
    <d v="2025-03-21T00:00:00"/>
    <x v="1"/>
    <s v="North"/>
    <s v="Mobile"/>
    <s v="Referral"/>
    <s v="Basic"/>
    <n v="1"/>
    <n v="1"/>
    <n v="1"/>
    <n v="0"/>
    <n v="0"/>
    <n v="0"/>
    <n v="0"/>
    <n v="0"/>
    <n v="65.8"/>
  </r>
  <r>
    <x v="1248"/>
    <d v="2025-03-22T00:00:00"/>
    <x v="1"/>
    <s v="East"/>
    <s v="Mobile"/>
    <s v="Organic"/>
    <s v="Basic"/>
    <n v="1"/>
    <n v="0"/>
    <n v="0"/>
    <n v="0"/>
    <n v="0"/>
    <n v="1"/>
    <n v="0"/>
    <n v="0"/>
    <n v="55.1"/>
  </r>
  <r>
    <x v="1249"/>
    <d v="2025-01-10T00:00:00"/>
    <x v="1"/>
    <s v="West"/>
    <s v="Desktop"/>
    <s v="Social"/>
    <s v="Free"/>
    <n v="1"/>
    <n v="0"/>
    <n v="0"/>
    <n v="0"/>
    <n v="0"/>
    <n v="0"/>
    <n v="0"/>
    <n v="0"/>
    <n v="54.6"/>
  </r>
  <r>
    <x v="1250"/>
    <d v="2025-02-01T00:00:00"/>
    <x v="1"/>
    <s v="East"/>
    <s v="Mobile"/>
    <s v="Organic"/>
    <s v="Basic"/>
    <n v="1"/>
    <n v="1"/>
    <n v="1"/>
    <n v="1"/>
    <n v="923.67"/>
    <n v="0"/>
    <n v="0"/>
    <n v="4"/>
    <n v="81.900000000000006"/>
  </r>
  <r>
    <x v="1251"/>
    <d v="2025-03-31T00:00:00"/>
    <x v="1"/>
    <s v="South"/>
    <s v="Mobile"/>
    <s v="Paid Search"/>
    <s v="Basic"/>
    <n v="1"/>
    <n v="1"/>
    <n v="0"/>
    <n v="0"/>
    <n v="0"/>
    <n v="3"/>
    <n v="0"/>
    <n v="0"/>
    <n v="63.2"/>
  </r>
  <r>
    <x v="1252"/>
    <d v="2025-04-25T00:00:00"/>
    <x v="1"/>
    <s v="North"/>
    <s v="Mobile"/>
    <s v="Paid Search"/>
    <s v="Free"/>
    <n v="1"/>
    <n v="0"/>
    <n v="0"/>
    <n v="0"/>
    <n v="0"/>
    <n v="0"/>
    <n v="0"/>
    <n v="0"/>
    <n v="55.4"/>
  </r>
  <r>
    <x v="1253"/>
    <d v="2025-05-02T00:00:00"/>
    <x v="1"/>
    <s v="West"/>
    <s v="Mobile"/>
    <s v="Social"/>
    <s v="Basic"/>
    <n v="0"/>
    <n v="0"/>
    <n v="0"/>
    <n v="0"/>
    <n v="0"/>
    <n v="0"/>
    <n v="0"/>
    <n v="0"/>
    <n v="87.5"/>
  </r>
  <r>
    <x v="1254"/>
    <d v="2025-03-08T00:00:00"/>
    <x v="1"/>
    <s v="South"/>
    <s v="Desktop"/>
    <s v="Social"/>
    <s v="Basic"/>
    <n v="1"/>
    <n v="0"/>
    <n v="0"/>
    <n v="0"/>
    <n v="0"/>
    <n v="0"/>
    <n v="0"/>
    <n v="0"/>
    <n v="48.5"/>
  </r>
  <r>
    <x v="1255"/>
    <d v="2025-01-27T00:00:00"/>
    <x v="1"/>
    <s v="East"/>
    <s v="Desktop"/>
    <s v="Unknown"/>
    <s v="Free"/>
    <n v="1"/>
    <n v="1"/>
    <n v="1"/>
    <n v="1"/>
    <n v="420.27"/>
    <n v="0"/>
    <n v="0"/>
    <n v="6"/>
    <n v="58.4"/>
  </r>
  <r>
    <x v="1256"/>
    <d v="2025-04-27T00:00:00"/>
    <x v="1"/>
    <s v="West"/>
    <s v="Mobile"/>
    <s v="Paid Search"/>
    <s v="Free"/>
    <n v="0"/>
    <n v="0"/>
    <n v="0"/>
    <n v="0"/>
    <n v="0"/>
    <n v="0"/>
    <n v="0"/>
    <n v="0"/>
    <n v="59.5"/>
  </r>
  <r>
    <x v="1257"/>
    <d v="2025-01-16T00:00:00"/>
    <x v="1"/>
    <s v="West"/>
    <s v="Desktop"/>
    <s v="Paid Search"/>
    <s v="Basic"/>
    <n v="1"/>
    <n v="0"/>
    <n v="0"/>
    <n v="0"/>
    <n v="0"/>
    <n v="0"/>
    <n v="0"/>
    <n v="0"/>
    <n v="93.2"/>
  </r>
  <r>
    <x v="1258"/>
    <d v="2025-01-18T00:00:00"/>
    <x v="1"/>
    <s v="West"/>
    <s v="Desktop"/>
    <s v="Paid Search"/>
    <s v="Basic"/>
    <n v="1"/>
    <n v="0"/>
    <n v="0"/>
    <n v="0"/>
    <n v="0"/>
    <n v="0"/>
    <n v="0"/>
    <n v="0"/>
    <n v="59"/>
  </r>
  <r>
    <x v="1259"/>
    <d v="2025-03-21T00:00:00"/>
    <x v="1"/>
    <s v="North"/>
    <s v="Mobile"/>
    <s v="Organic"/>
    <s v="Free"/>
    <n v="1"/>
    <n v="0"/>
    <n v="0"/>
    <n v="0"/>
    <n v="0"/>
    <n v="0"/>
    <n v="0"/>
    <n v="0"/>
    <n v="37"/>
  </r>
  <r>
    <x v="1260"/>
    <d v="2025-04-02T00:00:00"/>
    <x v="1"/>
    <s v="North"/>
    <s v="Desktop"/>
    <s v="Paid Search"/>
    <s v="Free"/>
    <n v="1"/>
    <n v="0"/>
    <n v="0"/>
    <n v="0"/>
    <n v="0"/>
    <n v="0"/>
    <n v="0"/>
    <n v="0"/>
    <n v="47.5"/>
  </r>
  <r>
    <x v="1261"/>
    <d v="2025-02-16T00:00:00"/>
    <x v="1"/>
    <s v="West"/>
    <s v="Desktop"/>
    <s v="Organic"/>
    <s v="Free"/>
    <n v="1"/>
    <n v="1"/>
    <n v="1"/>
    <n v="0"/>
    <n v="0"/>
    <n v="0"/>
    <n v="0"/>
    <n v="0"/>
    <n v="78.7"/>
  </r>
  <r>
    <x v="1262"/>
    <d v="2025-02-18T00:00:00"/>
    <x v="1"/>
    <s v="North"/>
    <s v="Mobile"/>
    <s v="Social"/>
    <s v="Free"/>
    <n v="1"/>
    <n v="0"/>
    <n v="0"/>
    <n v="0"/>
    <n v="0"/>
    <n v="0"/>
    <n v="0"/>
    <n v="0"/>
    <n v="49.6"/>
  </r>
  <r>
    <x v="1263"/>
    <d v="2025-01-09T00:00:00"/>
    <x v="1"/>
    <s v="East"/>
    <s v="Mobile"/>
    <s v="Organic"/>
    <s v="Free"/>
    <n v="1"/>
    <n v="0"/>
    <n v="0"/>
    <n v="0"/>
    <n v="0"/>
    <n v="0"/>
    <n v="0"/>
    <n v="0"/>
    <n v="58"/>
  </r>
  <r>
    <x v="1264"/>
    <d v="2025-02-18T00:00:00"/>
    <x v="1"/>
    <s v="North"/>
    <s v="Desktop"/>
    <s v="Paid Search"/>
    <s v="Free"/>
    <n v="1"/>
    <n v="0"/>
    <n v="0"/>
    <n v="0"/>
    <n v="0"/>
    <n v="1"/>
    <n v="0"/>
    <n v="0"/>
    <n v="54.4"/>
  </r>
  <r>
    <x v="1265"/>
    <d v="2025-01-10T00:00:00"/>
    <x v="1"/>
    <s v="East"/>
    <s v="Mobile"/>
    <s v="Referral"/>
    <s v="Free"/>
    <n v="0"/>
    <n v="0"/>
    <n v="0"/>
    <n v="0"/>
    <n v="0"/>
    <n v="0"/>
    <n v="0"/>
    <n v="0"/>
    <n v="33.700000000000003"/>
  </r>
  <r>
    <x v="1266"/>
    <d v="2025-03-08T00:00:00"/>
    <x v="1"/>
    <s v="West"/>
    <s v="Mobile"/>
    <s v="Email"/>
    <s v="Free"/>
    <n v="1"/>
    <n v="0"/>
    <n v="0"/>
    <n v="0"/>
    <n v="0"/>
    <n v="0"/>
    <n v="0"/>
    <n v="0"/>
    <n v="72.7"/>
  </r>
  <r>
    <x v="1267"/>
    <d v="2025-04-16T00:00:00"/>
    <x v="1"/>
    <s v="East"/>
    <s v="Desktop"/>
    <s v="Paid Search"/>
    <s v="Basic"/>
    <n v="0"/>
    <n v="0"/>
    <n v="0"/>
    <n v="0"/>
    <n v="0"/>
    <n v="0"/>
    <n v="0"/>
    <n v="0"/>
    <n v="64.7"/>
  </r>
  <r>
    <x v="1268"/>
    <d v="2025-02-19T00:00:00"/>
    <x v="1"/>
    <s v="West"/>
    <s v="Desktop"/>
    <s v="Paid Search"/>
    <s v="Premium"/>
    <n v="0"/>
    <n v="0"/>
    <n v="0"/>
    <n v="0"/>
    <n v="0"/>
    <n v="1"/>
    <n v="0"/>
    <n v="0"/>
    <n v="48.6"/>
  </r>
  <r>
    <x v="1269"/>
    <d v="2025-03-16T00:00:00"/>
    <x v="1"/>
    <s v="East"/>
    <s v="Desktop"/>
    <s v="Social"/>
    <s v="Free"/>
    <n v="1"/>
    <n v="1"/>
    <n v="0"/>
    <n v="0"/>
    <n v="0"/>
    <n v="0"/>
    <n v="0"/>
    <n v="0"/>
    <n v="66.2"/>
  </r>
  <r>
    <x v="1270"/>
    <d v="2025-02-03T00:00:00"/>
    <x v="1"/>
    <s v="West"/>
    <s v="Unknown"/>
    <s v="Referral"/>
    <s v="Basic"/>
    <n v="1"/>
    <n v="0"/>
    <n v="0"/>
    <n v="0"/>
    <n v="0"/>
    <n v="1"/>
    <n v="0"/>
    <n v="0"/>
    <n v="60.7"/>
  </r>
  <r>
    <x v="1271"/>
    <d v="2025-03-12T00:00:00"/>
    <x v="1"/>
    <s v="West"/>
    <s v="Mobile"/>
    <s v="Paid Search"/>
    <s v="Basic"/>
    <n v="1"/>
    <n v="0"/>
    <n v="0"/>
    <n v="0"/>
    <n v="0"/>
    <n v="0"/>
    <n v="0"/>
    <n v="0"/>
    <n v="36.5"/>
  </r>
  <r>
    <x v="1272"/>
    <d v="2025-05-09T00:00:00"/>
    <x v="1"/>
    <s v="West"/>
    <s v="Mobile"/>
    <s v="Social"/>
    <s v="Free"/>
    <n v="1"/>
    <n v="1"/>
    <n v="1"/>
    <n v="0"/>
    <n v="0"/>
    <n v="3"/>
    <n v="0"/>
    <n v="0"/>
    <n v="69.7"/>
  </r>
  <r>
    <x v="1273"/>
    <d v="2025-01-19T00:00:00"/>
    <x v="1"/>
    <s v="South"/>
    <s v="Desktop"/>
    <s v="Social"/>
    <s v="Premium"/>
    <n v="1"/>
    <n v="0"/>
    <n v="0"/>
    <n v="0"/>
    <n v="0"/>
    <n v="0"/>
    <n v="0"/>
    <n v="0"/>
    <n v="81.8"/>
  </r>
  <r>
    <x v="1274"/>
    <d v="2025-01-24T00:00:00"/>
    <x v="1"/>
    <s v="West"/>
    <s v="Mobile"/>
    <s v="Referral"/>
    <s v="Free"/>
    <n v="1"/>
    <n v="1"/>
    <n v="1"/>
    <n v="0"/>
    <n v="0"/>
    <n v="1"/>
    <n v="0"/>
    <n v="0"/>
    <n v="78.3"/>
  </r>
  <r>
    <x v="1275"/>
    <d v="2025-03-03T00:00:00"/>
    <x v="1"/>
    <s v="East"/>
    <s v="Mobile"/>
    <s v="Referral"/>
    <s v="Free"/>
    <n v="1"/>
    <n v="1"/>
    <n v="0"/>
    <n v="0"/>
    <n v="0"/>
    <n v="0"/>
    <n v="0"/>
    <n v="0"/>
    <n v="79.400000000000006"/>
  </r>
  <r>
    <x v="1276"/>
    <d v="2025-05-27T00:00:00"/>
    <x v="1"/>
    <s v="North"/>
    <s v="Desktop"/>
    <s v="Referral"/>
    <s v="Free"/>
    <n v="1"/>
    <n v="1"/>
    <n v="1"/>
    <n v="0"/>
    <n v="0"/>
    <n v="0"/>
    <n v="0"/>
    <n v="0"/>
    <n v="54.9"/>
  </r>
  <r>
    <x v="1277"/>
    <d v="2025-04-23T00:00:00"/>
    <x v="1"/>
    <s v="West"/>
    <s v="Desktop"/>
    <s v="Organic"/>
    <s v="Basic"/>
    <n v="1"/>
    <n v="0"/>
    <n v="0"/>
    <n v="0"/>
    <n v="0"/>
    <n v="0"/>
    <n v="0"/>
    <n v="0"/>
    <n v="54.9"/>
  </r>
  <r>
    <x v="1278"/>
    <d v="2025-02-10T00:00:00"/>
    <x v="1"/>
    <s v="East"/>
    <s v="Desktop"/>
    <s v="Social"/>
    <s v="Free"/>
    <n v="0"/>
    <n v="0"/>
    <n v="0"/>
    <n v="0"/>
    <n v="0"/>
    <n v="0"/>
    <n v="0"/>
    <n v="0"/>
    <n v="28.7"/>
  </r>
  <r>
    <x v="1279"/>
    <d v="2025-02-11T00:00:00"/>
    <x v="1"/>
    <s v="North"/>
    <s v="Mobile"/>
    <s v="Organic"/>
    <s v="Free"/>
    <n v="0"/>
    <n v="0"/>
    <n v="0"/>
    <n v="0"/>
    <n v="0"/>
    <n v="0"/>
    <n v="0"/>
    <n v="0"/>
    <n v="68.8"/>
  </r>
  <r>
    <x v="1280"/>
    <d v="2025-01-21T00:00:00"/>
    <x v="1"/>
    <s v="East"/>
    <s v="Desktop"/>
    <s v="Paid Search"/>
    <s v="Free"/>
    <n v="1"/>
    <n v="1"/>
    <n v="1"/>
    <n v="0"/>
    <n v="0"/>
    <n v="0"/>
    <n v="0"/>
    <n v="0"/>
    <n v="43.5"/>
  </r>
  <r>
    <x v="1281"/>
    <d v="2025-02-02T00:00:00"/>
    <x v="1"/>
    <s v="West"/>
    <s v="Desktop"/>
    <s v="Social"/>
    <s v="Free"/>
    <n v="1"/>
    <n v="1"/>
    <n v="0"/>
    <n v="0"/>
    <n v="0"/>
    <n v="0"/>
    <n v="0"/>
    <n v="0"/>
    <n v="62.6"/>
  </r>
  <r>
    <x v="1282"/>
    <d v="2025-02-02T00:00:00"/>
    <x v="1"/>
    <s v="West"/>
    <s v="Mobile"/>
    <s v="Organic"/>
    <s v="Free"/>
    <n v="0"/>
    <n v="0"/>
    <n v="0"/>
    <n v="0"/>
    <n v="0"/>
    <n v="1"/>
    <n v="0"/>
    <n v="0"/>
    <n v="54.1"/>
  </r>
  <r>
    <x v="1283"/>
    <d v="2025-02-26T00:00:00"/>
    <x v="1"/>
    <s v="West"/>
    <s v="Tablet"/>
    <s v="Social"/>
    <s v="Free"/>
    <n v="1"/>
    <n v="1"/>
    <n v="1"/>
    <n v="0"/>
    <n v="0"/>
    <n v="0"/>
    <n v="0"/>
    <n v="0"/>
    <n v="80.099999999999994"/>
  </r>
  <r>
    <x v="1284"/>
    <d v="2025-04-22T00:00:00"/>
    <x v="1"/>
    <s v="North"/>
    <s v="Mobile"/>
    <s v="Social"/>
    <s v="Premium"/>
    <n v="1"/>
    <n v="0"/>
    <n v="0"/>
    <n v="0"/>
    <n v="0"/>
    <n v="0"/>
    <n v="0"/>
    <n v="0"/>
    <n v="69.5"/>
  </r>
  <r>
    <x v="1285"/>
    <d v="2025-03-11T00:00:00"/>
    <x v="1"/>
    <s v="North"/>
    <s v="Desktop"/>
    <s v="Organic"/>
    <s v="Basic"/>
    <n v="0"/>
    <n v="0"/>
    <n v="0"/>
    <n v="0"/>
    <n v="0"/>
    <n v="2"/>
    <n v="0"/>
    <n v="0"/>
    <n v="46.6"/>
  </r>
  <r>
    <x v="1286"/>
    <d v="2025-05-08T00:00:00"/>
    <x v="1"/>
    <s v="South"/>
    <s v="Mobile"/>
    <s v="Organic"/>
    <s v="Premium"/>
    <n v="1"/>
    <n v="0"/>
    <n v="0"/>
    <n v="0"/>
    <n v="0"/>
    <n v="1"/>
    <n v="0"/>
    <n v="0"/>
    <n v="54.9"/>
  </r>
  <r>
    <x v="1287"/>
    <d v="2025-03-10T00:00:00"/>
    <x v="1"/>
    <s v="East"/>
    <s v="Desktop"/>
    <s v="Organic"/>
    <s v="Free"/>
    <n v="0"/>
    <n v="0"/>
    <n v="0"/>
    <n v="0"/>
    <n v="0"/>
    <n v="0"/>
    <n v="0"/>
    <n v="0"/>
    <n v="100"/>
  </r>
  <r>
    <x v="1288"/>
    <d v="2025-04-16T00:00:00"/>
    <x v="1"/>
    <s v="East"/>
    <s v="Desktop"/>
    <s v="Paid Search"/>
    <s v="Free"/>
    <n v="1"/>
    <n v="1"/>
    <n v="1"/>
    <n v="0"/>
    <n v="0"/>
    <n v="1"/>
    <n v="0"/>
    <n v="0"/>
    <n v="80.5"/>
  </r>
  <r>
    <x v="1289"/>
    <d v="2025-03-01T00:00:00"/>
    <x v="1"/>
    <s v="West"/>
    <s v="Tablet"/>
    <s v="Organic"/>
    <s v="Basic"/>
    <n v="1"/>
    <n v="0"/>
    <n v="0"/>
    <n v="0"/>
    <n v="0"/>
    <n v="0"/>
    <n v="0"/>
    <n v="0"/>
    <n v="51.2"/>
  </r>
  <r>
    <x v="1290"/>
    <d v="2025-01-18T00:00:00"/>
    <x v="1"/>
    <s v="South"/>
    <s v="Desktop"/>
    <s v="Organic"/>
    <s v="Premium"/>
    <n v="1"/>
    <n v="0"/>
    <n v="0"/>
    <n v="0"/>
    <n v="0"/>
    <n v="0"/>
    <n v="0"/>
    <n v="0"/>
    <n v="42.5"/>
  </r>
  <r>
    <x v="1291"/>
    <d v="2025-03-30T00:00:00"/>
    <x v="1"/>
    <s v="North"/>
    <s v="Mobile"/>
    <s v="Paid Search"/>
    <s v="Free"/>
    <n v="0"/>
    <n v="0"/>
    <n v="0"/>
    <n v="0"/>
    <n v="0"/>
    <n v="0"/>
    <n v="0"/>
    <n v="0"/>
    <n v="72.5"/>
  </r>
  <r>
    <x v="1292"/>
    <d v="2025-05-26T00:00:00"/>
    <x v="1"/>
    <s v="West"/>
    <s v="Mobile"/>
    <s v="Social"/>
    <s v="Premium"/>
    <n v="0"/>
    <n v="0"/>
    <n v="0"/>
    <n v="0"/>
    <n v="0"/>
    <n v="0"/>
    <n v="0"/>
    <n v="0"/>
    <n v="74.400000000000006"/>
  </r>
  <r>
    <x v="1293"/>
    <d v="2025-03-19T00:00:00"/>
    <x v="1"/>
    <s v="East"/>
    <s v="Desktop"/>
    <s v="Social"/>
    <s v="Free"/>
    <n v="0"/>
    <n v="0"/>
    <n v="0"/>
    <n v="0"/>
    <n v="0"/>
    <n v="0"/>
    <n v="0"/>
    <n v="0"/>
    <n v="78.400000000000006"/>
  </r>
  <r>
    <x v="1294"/>
    <d v="2025-03-28T00:00:00"/>
    <x v="1"/>
    <s v="North"/>
    <s v="Desktop"/>
    <s v="Referral"/>
    <s v="Free"/>
    <n v="1"/>
    <n v="0"/>
    <n v="0"/>
    <n v="0"/>
    <n v="0"/>
    <n v="0"/>
    <n v="0"/>
    <n v="0"/>
    <n v="71.5"/>
  </r>
  <r>
    <x v="1295"/>
    <d v="2025-05-28T00:00:00"/>
    <x v="1"/>
    <s v="South"/>
    <s v="Desktop"/>
    <s v="Social"/>
    <s v="Free"/>
    <n v="1"/>
    <n v="0"/>
    <n v="0"/>
    <n v="0"/>
    <n v="0"/>
    <n v="0"/>
    <n v="0"/>
    <n v="0"/>
    <n v="66.7"/>
  </r>
  <r>
    <x v="1296"/>
    <d v="2025-05-31T00:00:00"/>
    <x v="1"/>
    <s v="South"/>
    <s v="Desktop"/>
    <s v="Referral"/>
    <s v="Premium"/>
    <n v="1"/>
    <n v="1"/>
    <n v="1"/>
    <n v="1"/>
    <n v="1496.09"/>
    <n v="0"/>
    <n v="0"/>
    <n v="7"/>
    <n v="60.4"/>
  </r>
  <r>
    <x v="1297"/>
    <d v="2025-05-10T00:00:00"/>
    <x v="1"/>
    <s v="North"/>
    <s v="Mobile"/>
    <s v="Referral"/>
    <s v="Free"/>
    <n v="0"/>
    <n v="0"/>
    <n v="0"/>
    <n v="0"/>
    <n v="0"/>
    <n v="1"/>
    <n v="0"/>
    <n v="0"/>
    <n v="72.900000000000006"/>
  </r>
  <r>
    <x v="1298"/>
    <d v="2025-05-17T00:00:00"/>
    <x v="1"/>
    <s v="West"/>
    <s v="Mobile"/>
    <s v="Organic"/>
    <s v="Free"/>
    <n v="0"/>
    <n v="0"/>
    <n v="0"/>
    <n v="0"/>
    <n v="0"/>
    <n v="3"/>
    <n v="0"/>
    <n v="0"/>
    <n v="0"/>
  </r>
  <r>
    <x v="1299"/>
    <d v="2025-01-18T00:00:00"/>
    <x v="1"/>
    <s v="South"/>
    <s v="Mobile"/>
    <s v="Organic"/>
    <s v="Premium"/>
    <n v="1"/>
    <n v="0"/>
    <n v="0"/>
    <n v="0"/>
    <n v="0"/>
    <n v="0"/>
    <n v="0"/>
    <n v="0"/>
    <n v="55.2"/>
  </r>
  <r>
    <x v="1300"/>
    <d v="2025-05-04T00:00:00"/>
    <x v="1"/>
    <s v="West"/>
    <s v="Mobile"/>
    <s v="Social"/>
    <s v="Free"/>
    <n v="1"/>
    <n v="0"/>
    <n v="0"/>
    <n v="0"/>
    <n v="0"/>
    <n v="0"/>
    <n v="0"/>
    <n v="0"/>
    <n v="67.8"/>
  </r>
  <r>
    <x v="1301"/>
    <d v="2025-03-25T00:00:00"/>
    <x v="1"/>
    <s v="North"/>
    <s v="Mobile"/>
    <s v="Organic"/>
    <s v="Free"/>
    <n v="1"/>
    <n v="0"/>
    <n v="0"/>
    <n v="0"/>
    <n v="0"/>
    <n v="2"/>
    <n v="0"/>
    <n v="0"/>
    <n v="70"/>
  </r>
  <r>
    <x v="1302"/>
    <d v="2025-02-27T00:00:00"/>
    <x v="1"/>
    <s v="North"/>
    <s v="Mobile"/>
    <s v="Social"/>
    <s v="Basic"/>
    <n v="1"/>
    <n v="1"/>
    <n v="1"/>
    <n v="0"/>
    <n v="0"/>
    <n v="0"/>
    <n v="0"/>
    <n v="0"/>
    <n v="51.1"/>
  </r>
  <r>
    <x v="1303"/>
    <d v="2025-01-14T00:00:00"/>
    <x v="1"/>
    <s v="West"/>
    <s v="Mobile"/>
    <s v="Paid Search"/>
    <s v="Basic"/>
    <n v="1"/>
    <n v="1"/>
    <n v="1"/>
    <n v="0"/>
    <n v="0"/>
    <n v="0"/>
    <n v="0"/>
    <n v="0"/>
    <n v="57"/>
  </r>
  <r>
    <x v="1304"/>
    <d v="2025-04-11T00:00:00"/>
    <x v="1"/>
    <s v="East"/>
    <s v="Mobile"/>
    <s v="Social"/>
    <s v="Free"/>
    <n v="0"/>
    <n v="0"/>
    <n v="0"/>
    <n v="0"/>
    <n v="0"/>
    <n v="1"/>
    <n v="0"/>
    <n v="0"/>
    <n v="47.1"/>
  </r>
  <r>
    <x v="1305"/>
    <d v="2025-03-26T00:00:00"/>
    <x v="1"/>
    <s v="East"/>
    <s v="Desktop"/>
    <s v="Social"/>
    <s v="Basic"/>
    <n v="0"/>
    <n v="0"/>
    <n v="0"/>
    <n v="0"/>
    <n v="0"/>
    <n v="0"/>
    <n v="0"/>
    <n v="0"/>
    <n v="30.7"/>
  </r>
  <r>
    <x v="1306"/>
    <d v="2025-02-12T00:00:00"/>
    <x v="1"/>
    <s v="West"/>
    <s v="Desktop"/>
    <s v="Social"/>
    <s v="Free"/>
    <n v="1"/>
    <n v="0"/>
    <n v="0"/>
    <n v="0"/>
    <n v="0"/>
    <n v="0"/>
    <n v="0"/>
    <n v="0"/>
    <n v="57.3"/>
  </r>
  <r>
    <x v="1307"/>
    <d v="2025-02-18T00:00:00"/>
    <x v="1"/>
    <s v="West"/>
    <s v="Tablet"/>
    <s v="Paid Search"/>
    <s v="Basic"/>
    <n v="1"/>
    <n v="0"/>
    <n v="0"/>
    <n v="0"/>
    <n v="0"/>
    <n v="0"/>
    <n v="0"/>
    <n v="0"/>
    <n v="70"/>
  </r>
  <r>
    <x v="1308"/>
    <d v="2025-05-25T00:00:00"/>
    <x v="1"/>
    <s v="East"/>
    <s v="Desktop"/>
    <s v="Social"/>
    <s v="Free"/>
    <n v="1"/>
    <n v="1"/>
    <n v="1"/>
    <n v="0"/>
    <n v="0"/>
    <n v="0"/>
    <n v="0"/>
    <n v="0"/>
    <n v="59.7"/>
  </r>
  <r>
    <x v="1309"/>
    <d v="2025-05-23T00:00:00"/>
    <x v="1"/>
    <s v="East"/>
    <s v="Desktop"/>
    <s v="Paid Search"/>
    <s v="Basic"/>
    <n v="1"/>
    <n v="0"/>
    <n v="0"/>
    <n v="0"/>
    <n v="0"/>
    <n v="0"/>
    <n v="0"/>
    <n v="0"/>
    <n v="68.8"/>
  </r>
  <r>
    <x v="1310"/>
    <d v="2025-01-16T00:00:00"/>
    <x v="1"/>
    <s v="North"/>
    <s v="Desktop"/>
    <s v="Organic"/>
    <s v="Free"/>
    <n v="1"/>
    <n v="1"/>
    <n v="1"/>
    <n v="1"/>
    <n v="428.37"/>
    <n v="0"/>
    <n v="0"/>
    <n v="9"/>
    <n v="88.3"/>
  </r>
  <r>
    <x v="1311"/>
    <d v="2025-01-19T00:00:00"/>
    <x v="1"/>
    <s v="West"/>
    <s v="Desktop"/>
    <s v="Email"/>
    <s v="Basic"/>
    <n v="0"/>
    <n v="0"/>
    <n v="0"/>
    <n v="0"/>
    <n v="0"/>
    <n v="0"/>
    <n v="0"/>
    <n v="0"/>
    <n v="83.4"/>
  </r>
  <r>
    <x v="1312"/>
    <d v="2025-05-18T00:00:00"/>
    <x v="1"/>
    <s v="South"/>
    <s v="Mobile"/>
    <s v="Referral"/>
    <s v="Free"/>
    <n v="0"/>
    <n v="0"/>
    <n v="0"/>
    <n v="0"/>
    <n v="0"/>
    <n v="1"/>
    <n v="0"/>
    <n v="0"/>
    <n v="81.599999999999994"/>
  </r>
  <r>
    <x v="1313"/>
    <d v="2025-01-23T00:00:00"/>
    <x v="1"/>
    <s v="East"/>
    <s v="Tablet"/>
    <s v="Social"/>
    <s v="Premium"/>
    <n v="1"/>
    <n v="0"/>
    <n v="0"/>
    <n v="0"/>
    <n v="0"/>
    <n v="0"/>
    <n v="0"/>
    <n v="0"/>
    <n v="91.6"/>
  </r>
  <r>
    <x v="1314"/>
    <d v="2025-01-08T00:00:00"/>
    <x v="1"/>
    <s v="East"/>
    <s v="Tablet"/>
    <s v="Unknown"/>
    <s v="Premium"/>
    <n v="1"/>
    <n v="1"/>
    <n v="1"/>
    <n v="0"/>
    <n v="0"/>
    <n v="1"/>
    <n v="0"/>
    <n v="0"/>
    <n v="61.5"/>
  </r>
  <r>
    <x v="1315"/>
    <d v="2025-02-19T00:00:00"/>
    <x v="1"/>
    <s v="North"/>
    <s v="Mobile"/>
    <s v="Organic"/>
    <s v="Premium"/>
    <n v="0"/>
    <n v="0"/>
    <n v="0"/>
    <n v="0"/>
    <n v="0"/>
    <n v="0"/>
    <n v="0"/>
    <n v="0"/>
    <n v="0"/>
  </r>
  <r>
    <x v="1316"/>
    <d v="2025-02-10T00:00:00"/>
    <x v="1"/>
    <s v="South"/>
    <s v="Mobile"/>
    <s v="Organic"/>
    <s v="Free"/>
    <n v="1"/>
    <n v="0"/>
    <n v="0"/>
    <n v="0"/>
    <n v="0"/>
    <n v="0"/>
    <n v="0"/>
    <n v="0"/>
    <n v="32.6"/>
  </r>
  <r>
    <x v="1317"/>
    <d v="2025-04-13T00:00:00"/>
    <x v="1"/>
    <s v="South"/>
    <s v="Mobile"/>
    <s v="Paid Search"/>
    <s v="Free"/>
    <n v="1"/>
    <n v="0"/>
    <n v="0"/>
    <n v="0"/>
    <n v="0"/>
    <n v="0"/>
    <n v="0"/>
    <n v="0"/>
    <n v="73.900000000000006"/>
  </r>
  <r>
    <x v="1318"/>
    <d v="2025-05-20T00:00:00"/>
    <x v="1"/>
    <s v="East"/>
    <s v="Mobile"/>
    <s v="Organic"/>
    <s v="Free"/>
    <n v="1"/>
    <n v="1"/>
    <n v="1"/>
    <n v="1"/>
    <n v="444.06"/>
    <n v="0"/>
    <n v="0"/>
    <n v="9"/>
    <n v="99.9"/>
  </r>
  <r>
    <x v="1319"/>
    <d v="2025-05-13T00:00:00"/>
    <x v="1"/>
    <s v="South"/>
    <s v="Mobile"/>
    <s v="Paid Search"/>
    <s v="Basic"/>
    <n v="1"/>
    <n v="1"/>
    <n v="0"/>
    <n v="0"/>
    <n v="0"/>
    <n v="1"/>
    <n v="0"/>
    <n v="0"/>
    <n v="62.4"/>
  </r>
  <r>
    <x v="1320"/>
    <d v="2025-05-28T00:00:00"/>
    <x v="1"/>
    <s v="South"/>
    <s v="Desktop"/>
    <s v="Paid Search"/>
    <s v="Basic"/>
    <n v="1"/>
    <n v="0"/>
    <n v="0"/>
    <n v="0"/>
    <n v="0"/>
    <n v="0"/>
    <n v="0"/>
    <n v="0"/>
    <n v="46.1"/>
  </r>
  <r>
    <x v="1321"/>
    <d v="2025-03-19T00:00:00"/>
    <x v="1"/>
    <s v="West"/>
    <s v="Mobile"/>
    <s v="Organic"/>
    <s v="Free"/>
    <n v="1"/>
    <n v="1"/>
    <n v="1"/>
    <n v="1"/>
    <n v="2660.21"/>
    <n v="0"/>
    <n v="0"/>
    <n v="3"/>
    <n v="73.900000000000006"/>
  </r>
  <r>
    <x v="1322"/>
    <d v="2025-02-03T00:00:00"/>
    <x v="1"/>
    <s v="North"/>
    <s v="Mobile"/>
    <s v="Email"/>
    <s v="Premium"/>
    <n v="0"/>
    <n v="0"/>
    <n v="0"/>
    <n v="0"/>
    <n v="0"/>
    <n v="0"/>
    <n v="0"/>
    <n v="0"/>
    <n v="90"/>
  </r>
  <r>
    <x v="1323"/>
    <d v="2025-02-26T00:00:00"/>
    <x v="1"/>
    <s v="South"/>
    <s v="Mobile"/>
    <s v="Email"/>
    <s v="Basic"/>
    <n v="1"/>
    <n v="0"/>
    <n v="0"/>
    <n v="0"/>
    <n v="0"/>
    <n v="1"/>
    <n v="0"/>
    <n v="0"/>
    <n v="68.8"/>
  </r>
  <r>
    <x v="1324"/>
    <d v="2025-01-26T00:00:00"/>
    <x v="1"/>
    <s v="West"/>
    <s v="Mobile"/>
    <s v="Paid Search"/>
    <s v="Free"/>
    <n v="1"/>
    <n v="0"/>
    <n v="0"/>
    <n v="0"/>
    <n v="0"/>
    <n v="0"/>
    <n v="0"/>
    <n v="0"/>
    <n v="66.599999999999994"/>
  </r>
  <r>
    <x v="1325"/>
    <d v="2025-05-13T00:00:00"/>
    <x v="1"/>
    <s v="North"/>
    <s v="Mobile"/>
    <s v="Organic"/>
    <s v="Premium"/>
    <n v="1"/>
    <n v="0"/>
    <n v="0"/>
    <n v="0"/>
    <n v="0"/>
    <n v="0"/>
    <n v="0"/>
    <n v="0"/>
    <n v="49.7"/>
  </r>
  <r>
    <x v="1326"/>
    <d v="2025-02-02T00:00:00"/>
    <x v="1"/>
    <s v="South"/>
    <s v="Mobile"/>
    <s v="Paid Search"/>
    <s v="Basic"/>
    <n v="0"/>
    <n v="0"/>
    <n v="0"/>
    <n v="0"/>
    <n v="0"/>
    <n v="0"/>
    <n v="0"/>
    <n v="0"/>
    <n v="67.900000000000006"/>
  </r>
  <r>
    <x v="1327"/>
    <d v="2025-04-30T00:00:00"/>
    <x v="1"/>
    <s v="West"/>
    <s v="Mobile"/>
    <s v="Unknown"/>
    <s v="Basic"/>
    <n v="0"/>
    <n v="0"/>
    <n v="0"/>
    <n v="0"/>
    <n v="0"/>
    <n v="0"/>
    <n v="0"/>
    <n v="0"/>
    <n v="66.900000000000006"/>
  </r>
  <r>
    <x v="1328"/>
    <d v="2025-03-29T00:00:00"/>
    <x v="1"/>
    <s v="East"/>
    <s v="Mobile"/>
    <s v="Organic"/>
    <s v="Free"/>
    <n v="0"/>
    <n v="0"/>
    <n v="0"/>
    <n v="0"/>
    <n v="0"/>
    <n v="0"/>
    <n v="0"/>
    <n v="0"/>
    <n v="46.1"/>
  </r>
  <r>
    <x v="1329"/>
    <d v="2025-04-09T00:00:00"/>
    <x v="1"/>
    <s v="West"/>
    <s v="Desktop"/>
    <s v="Referral"/>
    <s v="Premium"/>
    <n v="1"/>
    <n v="0"/>
    <n v="0"/>
    <n v="0"/>
    <n v="0"/>
    <n v="0"/>
    <n v="0"/>
    <n v="0"/>
    <n v="85.6"/>
  </r>
  <r>
    <x v="1330"/>
    <d v="2025-01-22T00:00:00"/>
    <x v="1"/>
    <s v="South"/>
    <s v="Tablet"/>
    <s v="Organic"/>
    <s v="Free"/>
    <n v="0"/>
    <n v="0"/>
    <n v="0"/>
    <n v="0"/>
    <n v="0"/>
    <n v="0"/>
    <n v="0"/>
    <n v="0"/>
    <n v="39.6"/>
  </r>
  <r>
    <x v="1331"/>
    <d v="2025-01-27T00:00:00"/>
    <x v="1"/>
    <s v="South"/>
    <s v="Mobile"/>
    <s v="Organic"/>
    <s v="Basic"/>
    <n v="1"/>
    <n v="0"/>
    <n v="0"/>
    <n v="0"/>
    <n v="0"/>
    <n v="0"/>
    <n v="0"/>
    <n v="0"/>
    <n v="52.5"/>
  </r>
  <r>
    <x v="1332"/>
    <d v="2025-01-22T00:00:00"/>
    <x v="1"/>
    <s v="East"/>
    <s v="Mobile"/>
    <s v="Social"/>
    <s v="Premium"/>
    <n v="1"/>
    <n v="0"/>
    <n v="0"/>
    <n v="0"/>
    <n v="0"/>
    <n v="0"/>
    <n v="0"/>
    <n v="0"/>
    <n v="73.5"/>
  </r>
  <r>
    <x v="1333"/>
    <d v="2025-01-06T00:00:00"/>
    <x v="1"/>
    <s v="West"/>
    <s v="Desktop"/>
    <s v="Paid Search"/>
    <s v="Free"/>
    <n v="0"/>
    <n v="0"/>
    <n v="0"/>
    <n v="0"/>
    <n v="0"/>
    <n v="0"/>
    <n v="0"/>
    <n v="0"/>
    <n v="62.5"/>
  </r>
  <r>
    <x v="1334"/>
    <d v="2025-04-16T00:00:00"/>
    <x v="1"/>
    <s v="South"/>
    <s v="Unknown"/>
    <s v="Organic"/>
    <s v="Free"/>
    <n v="1"/>
    <n v="0"/>
    <n v="0"/>
    <n v="0"/>
    <n v="0"/>
    <n v="0"/>
    <n v="0"/>
    <n v="0"/>
    <n v="76.900000000000006"/>
  </r>
  <r>
    <x v="1335"/>
    <d v="2025-04-14T00:00:00"/>
    <x v="1"/>
    <s v="South"/>
    <s v="Mobile"/>
    <s v="Organic"/>
    <s v="Free"/>
    <n v="1"/>
    <n v="0"/>
    <n v="0"/>
    <n v="0"/>
    <n v="0"/>
    <n v="0"/>
    <n v="0"/>
    <n v="0"/>
    <n v="51.4"/>
  </r>
  <r>
    <x v="1336"/>
    <d v="2025-02-22T00:00:00"/>
    <x v="1"/>
    <s v="West"/>
    <s v="Mobile"/>
    <s v="Paid Search"/>
    <s v="Basic"/>
    <n v="1"/>
    <n v="0"/>
    <n v="0"/>
    <n v="0"/>
    <n v="0"/>
    <n v="0"/>
    <n v="0"/>
    <n v="0"/>
    <n v="59.3"/>
  </r>
  <r>
    <x v="1337"/>
    <d v="2025-03-09T00:00:00"/>
    <x v="1"/>
    <s v="North"/>
    <s v="Mobile"/>
    <s v="Organic"/>
    <s v="Basic"/>
    <n v="0"/>
    <n v="0"/>
    <n v="0"/>
    <n v="0"/>
    <n v="0"/>
    <n v="0"/>
    <n v="0"/>
    <n v="0"/>
    <n v="74.900000000000006"/>
  </r>
  <r>
    <x v="1338"/>
    <d v="2025-04-20T00:00:00"/>
    <x v="1"/>
    <s v="West"/>
    <s v="Desktop"/>
    <s v="Organic"/>
    <s v="Free"/>
    <n v="1"/>
    <n v="0"/>
    <n v="0"/>
    <n v="0"/>
    <n v="0"/>
    <n v="0"/>
    <n v="0"/>
    <n v="0"/>
    <n v="67"/>
  </r>
  <r>
    <x v="1339"/>
    <d v="2025-03-10T00:00:00"/>
    <x v="1"/>
    <s v="South"/>
    <s v="Mobile"/>
    <s v="Email"/>
    <s v="Free"/>
    <n v="0"/>
    <n v="0"/>
    <n v="0"/>
    <n v="0"/>
    <n v="0"/>
    <n v="0"/>
    <n v="0"/>
    <n v="0"/>
    <n v="63.6"/>
  </r>
  <r>
    <x v="1340"/>
    <d v="2025-02-21T00:00:00"/>
    <x v="1"/>
    <s v="South"/>
    <s v="Mobile"/>
    <s v="Email"/>
    <s v="Free"/>
    <n v="1"/>
    <n v="1"/>
    <n v="0"/>
    <n v="0"/>
    <n v="0"/>
    <n v="1"/>
    <n v="0"/>
    <n v="0"/>
    <n v="58.4"/>
  </r>
  <r>
    <x v="1341"/>
    <d v="2025-01-06T00:00:00"/>
    <x v="1"/>
    <s v="North"/>
    <s v="Desktop"/>
    <s v="Social"/>
    <s v="Free"/>
    <n v="1"/>
    <n v="0"/>
    <n v="0"/>
    <n v="0"/>
    <n v="0"/>
    <n v="0"/>
    <n v="0"/>
    <n v="0"/>
    <n v="36.799999999999997"/>
  </r>
  <r>
    <x v="1342"/>
    <d v="2025-04-17T00:00:00"/>
    <x v="1"/>
    <s v="South"/>
    <s v="Mobile"/>
    <s v="Organic"/>
    <s v="Premium"/>
    <n v="1"/>
    <n v="0"/>
    <n v="0"/>
    <n v="0"/>
    <n v="0"/>
    <n v="0"/>
    <n v="0"/>
    <n v="0"/>
    <n v="71.599999999999994"/>
  </r>
  <r>
    <x v="1343"/>
    <d v="2025-05-23T00:00:00"/>
    <x v="1"/>
    <s v="South"/>
    <s v="Mobile"/>
    <s v="Email"/>
    <s v="Basic"/>
    <n v="1"/>
    <n v="1"/>
    <n v="0"/>
    <n v="0"/>
    <n v="0"/>
    <n v="1"/>
    <n v="0"/>
    <n v="0"/>
    <n v="79.7"/>
  </r>
  <r>
    <x v="1344"/>
    <d v="2025-03-14T00:00:00"/>
    <x v="1"/>
    <s v="West"/>
    <s v="Desktop"/>
    <s v="Organic"/>
    <s v="Basic"/>
    <n v="1"/>
    <n v="0"/>
    <n v="0"/>
    <n v="0"/>
    <n v="0"/>
    <n v="1"/>
    <n v="0"/>
    <n v="0"/>
    <n v="56.5"/>
  </r>
  <r>
    <x v="1345"/>
    <d v="2025-04-21T00:00:00"/>
    <x v="1"/>
    <s v="North"/>
    <s v="Mobile"/>
    <s v="Social"/>
    <s v="Premium"/>
    <n v="1"/>
    <n v="0"/>
    <n v="0"/>
    <n v="0"/>
    <n v="0"/>
    <n v="0"/>
    <n v="0"/>
    <n v="0"/>
    <n v="44.7"/>
  </r>
  <r>
    <x v="1346"/>
    <d v="2025-01-03T00:00:00"/>
    <x v="1"/>
    <s v="South"/>
    <s v="Mobile"/>
    <s v="Social"/>
    <s v="Free"/>
    <n v="1"/>
    <n v="1"/>
    <n v="1"/>
    <n v="0"/>
    <n v="0"/>
    <n v="1"/>
    <n v="0"/>
    <n v="0"/>
    <n v="66"/>
  </r>
  <r>
    <x v="1347"/>
    <d v="2025-05-09T00:00:00"/>
    <x v="1"/>
    <s v="North"/>
    <s v="Desktop"/>
    <s v="Organic"/>
    <s v="Basic"/>
    <n v="1"/>
    <n v="0"/>
    <n v="0"/>
    <n v="0"/>
    <n v="0"/>
    <n v="0"/>
    <n v="0"/>
    <n v="0"/>
    <n v="73"/>
  </r>
  <r>
    <x v="1348"/>
    <d v="2025-05-22T00:00:00"/>
    <x v="1"/>
    <s v="South"/>
    <s v="Mobile"/>
    <s v="Organic"/>
    <s v="Basic"/>
    <n v="1"/>
    <n v="1"/>
    <n v="1"/>
    <n v="0"/>
    <n v="0"/>
    <n v="1"/>
    <n v="0"/>
    <n v="0"/>
    <n v="72.5"/>
  </r>
  <r>
    <x v="1349"/>
    <d v="2025-05-07T00:00:00"/>
    <x v="1"/>
    <s v="South"/>
    <s v="Desktop"/>
    <s v="Paid Search"/>
    <s v="Free"/>
    <n v="1"/>
    <n v="1"/>
    <n v="1"/>
    <n v="1"/>
    <n v="323.60000000000002"/>
    <n v="0"/>
    <n v="0"/>
    <n v="6"/>
    <n v="100"/>
  </r>
  <r>
    <x v="1350"/>
    <d v="2025-02-08T00:00:00"/>
    <x v="1"/>
    <s v="East"/>
    <s v="Mobile"/>
    <s v="Social"/>
    <s v="Free"/>
    <n v="0"/>
    <n v="0"/>
    <n v="0"/>
    <n v="0"/>
    <n v="0"/>
    <n v="1"/>
    <n v="0"/>
    <n v="0"/>
    <n v="90.5"/>
  </r>
  <r>
    <x v="1351"/>
    <d v="2025-04-03T00:00:00"/>
    <x v="1"/>
    <s v="North"/>
    <s v="Tablet"/>
    <s v="Social"/>
    <s v="Basic"/>
    <n v="1"/>
    <n v="0"/>
    <n v="0"/>
    <n v="0"/>
    <n v="0"/>
    <n v="0"/>
    <n v="0"/>
    <n v="0"/>
    <n v="70.2"/>
  </r>
  <r>
    <x v="1352"/>
    <d v="2025-04-17T00:00:00"/>
    <x v="1"/>
    <s v="East"/>
    <s v="Desktop"/>
    <s v="Paid Search"/>
    <s v="Free"/>
    <n v="1"/>
    <n v="0"/>
    <n v="0"/>
    <n v="0"/>
    <n v="0"/>
    <n v="1"/>
    <n v="0"/>
    <n v="0"/>
    <n v="67.099999999999994"/>
  </r>
  <r>
    <x v="1353"/>
    <d v="2025-05-04T00:00:00"/>
    <x v="1"/>
    <s v="East"/>
    <s v="Mobile"/>
    <s v="Organic"/>
    <s v="Free"/>
    <n v="0"/>
    <n v="0"/>
    <n v="0"/>
    <n v="0"/>
    <n v="0"/>
    <n v="0"/>
    <n v="0"/>
    <n v="0"/>
    <n v="54.5"/>
  </r>
  <r>
    <x v="1354"/>
    <d v="2025-05-11T00:00:00"/>
    <x v="1"/>
    <s v="West"/>
    <s v="Desktop"/>
    <s v="Organic"/>
    <s v="Free"/>
    <n v="1"/>
    <n v="0"/>
    <n v="0"/>
    <n v="0"/>
    <n v="0"/>
    <n v="0"/>
    <n v="0"/>
    <n v="0"/>
    <n v="63.4"/>
  </r>
  <r>
    <x v="1355"/>
    <d v="2025-03-01T00:00:00"/>
    <x v="1"/>
    <s v="North"/>
    <s v="Desktop"/>
    <s v="Unknown"/>
    <s v="Free"/>
    <n v="1"/>
    <n v="1"/>
    <n v="1"/>
    <n v="0"/>
    <n v="0"/>
    <n v="0"/>
    <n v="0"/>
    <n v="0"/>
    <n v="84.3"/>
  </r>
  <r>
    <x v="1356"/>
    <d v="2025-02-20T00:00:00"/>
    <x v="1"/>
    <s v="West"/>
    <s v="Desktop"/>
    <s v="Organic"/>
    <s v="Free"/>
    <n v="1"/>
    <n v="0"/>
    <n v="0"/>
    <n v="0"/>
    <n v="0"/>
    <n v="1"/>
    <n v="0"/>
    <n v="0"/>
    <n v="55"/>
  </r>
  <r>
    <x v="1357"/>
    <d v="2025-05-09T00:00:00"/>
    <x v="1"/>
    <s v="West"/>
    <s v="Mobile"/>
    <s v="Social"/>
    <s v="Free"/>
    <n v="1"/>
    <n v="0"/>
    <n v="0"/>
    <n v="0"/>
    <n v="0"/>
    <n v="0"/>
    <n v="0"/>
    <n v="0"/>
    <n v="63.6"/>
  </r>
  <r>
    <x v="1358"/>
    <d v="2025-04-30T00:00:00"/>
    <x v="1"/>
    <s v="West"/>
    <s v="Mobile"/>
    <s v="Organic"/>
    <s v="Free"/>
    <n v="1"/>
    <n v="0"/>
    <n v="0"/>
    <n v="0"/>
    <n v="0"/>
    <n v="0"/>
    <n v="0"/>
    <n v="0"/>
    <n v="55.5"/>
  </r>
  <r>
    <x v="1359"/>
    <d v="2025-01-07T00:00:00"/>
    <x v="1"/>
    <s v="South"/>
    <s v="Mobile"/>
    <s v="Social"/>
    <s v="Basic"/>
    <n v="0"/>
    <n v="0"/>
    <n v="0"/>
    <n v="0"/>
    <n v="0"/>
    <n v="0"/>
    <n v="0"/>
    <n v="0"/>
    <n v="50.5"/>
  </r>
  <r>
    <x v="1360"/>
    <d v="2025-04-30T00:00:00"/>
    <x v="1"/>
    <s v="North"/>
    <s v="Mobile"/>
    <s v="Social"/>
    <s v="Basic"/>
    <n v="1"/>
    <n v="0"/>
    <n v="0"/>
    <n v="0"/>
    <n v="0"/>
    <n v="0"/>
    <n v="0"/>
    <n v="0"/>
    <n v="45.3"/>
  </r>
  <r>
    <x v="1361"/>
    <d v="2025-05-23T00:00:00"/>
    <x v="1"/>
    <s v="East"/>
    <s v="Mobile"/>
    <s v="Organic"/>
    <s v="Basic"/>
    <n v="1"/>
    <n v="0"/>
    <n v="0"/>
    <n v="0"/>
    <n v="0"/>
    <n v="0"/>
    <n v="0"/>
    <n v="0"/>
    <n v="33.6"/>
  </r>
  <r>
    <x v="1362"/>
    <d v="2025-03-12T00:00:00"/>
    <x v="1"/>
    <s v="South"/>
    <s v="Mobile"/>
    <s v="Paid Search"/>
    <s v="Premium"/>
    <n v="1"/>
    <n v="1"/>
    <n v="1"/>
    <n v="0"/>
    <n v="0"/>
    <n v="0"/>
    <n v="0"/>
    <n v="0"/>
    <n v="88.2"/>
  </r>
  <r>
    <x v="1363"/>
    <d v="2025-02-17T00:00:00"/>
    <x v="1"/>
    <s v="North"/>
    <s v="Mobile"/>
    <s v="Organic"/>
    <s v="Premium"/>
    <n v="1"/>
    <n v="0"/>
    <n v="0"/>
    <n v="0"/>
    <n v="0"/>
    <n v="0"/>
    <n v="0"/>
    <n v="0"/>
    <n v="51.8"/>
  </r>
  <r>
    <x v="1364"/>
    <d v="2025-05-27T00:00:00"/>
    <x v="1"/>
    <s v="North"/>
    <s v="Desktop"/>
    <s v="Organic"/>
    <s v="Basic"/>
    <n v="0"/>
    <n v="0"/>
    <n v="0"/>
    <n v="0"/>
    <n v="0"/>
    <n v="0"/>
    <n v="0"/>
    <n v="0"/>
    <n v="87.9"/>
  </r>
  <r>
    <x v="1365"/>
    <d v="2025-05-10T00:00:00"/>
    <x v="1"/>
    <s v="South"/>
    <s v="Mobile"/>
    <s v="Social"/>
    <s v="Premium"/>
    <n v="1"/>
    <n v="0"/>
    <n v="0"/>
    <n v="0"/>
    <n v="0"/>
    <n v="2"/>
    <n v="0"/>
    <n v="0"/>
    <n v="70.5"/>
  </r>
  <r>
    <x v="1366"/>
    <d v="2025-01-20T00:00:00"/>
    <x v="1"/>
    <s v="North"/>
    <s v="Mobile"/>
    <s v="Organic"/>
    <s v="Basic"/>
    <n v="1"/>
    <n v="1"/>
    <n v="0"/>
    <n v="0"/>
    <n v="0"/>
    <n v="2"/>
    <n v="0"/>
    <n v="0"/>
    <n v="58.5"/>
  </r>
  <r>
    <x v="1367"/>
    <d v="2025-01-19T00:00:00"/>
    <x v="1"/>
    <s v="East"/>
    <s v="Mobile"/>
    <s v="Referral"/>
    <s v="Free"/>
    <n v="1"/>
    <n v="0"/>
    <n v="0"/>
    <n v="0"/>
    <n v="0"/>
    <n v="0"/>
    <n v="0"/>
    <n v="0"/>
    <n v="65.599999999999994"/>
  </r>
  <r>
    <x v="1368"/>
    <d v="2025-03-07T00:00:00"/>
    <x v="1"/>
    <s v="West"/>
    <s v="Desktop"/>
    <s v="Paid Search"/>
    <s v="Basic"/>
    <n v="1"/>
    <n v="1"/>
    <n v="0"/>
    <n v="0"/>
    <n v="0"/>
    <n v="0"/>
    <n v="0"/>
    <n v="0"/>
    <n v="62.7"/>
  </r>
  <r>
    <x v="1369"/>
    <d v="2025-02-02T00:00:00"/>
    <x v="1"/>
    <s v="East"/>
    <s v="Mobile"/>
    <s v="Organic"/>
    <s v="Free"/>
    <n v="0"/>
    <n v="0"/>
    <n v="0"/>
    <n v="0"/>
    <n v="0"/>
    <n v="1"/>
    <n v="0"/>
    <n v="0"/>
    <n v="50.9"/>
  </r>
  <r>
    <x v="1370"/>
    <d v="2025-03-07T00:00:00"/>
    <x v="1"/>
    <s v="North"/>
    <s v="Mobile"/>
    <s v="Organic"/>
    <s v="Free"/>
    <n v="0"/>
    <n v="0"/>
    <n v="0"/>
    <n v="0"/>
    <n v="0"/>
    <n v="1"/>
    <n v="0"/>
    <n v="0"/>
    <n v="60.6"/>
  </r>
  <r>
    <x v="1371"/>
    <d v="2025-03-30T00:00:00"/>
    <x v="1"/>
    <s v="East"/>
    <s v="Desktop"/>
    <s v="Organic"/>
    <s v="Free"/>
    <n v="1"/>
    <n v="1"/>
    <n v="1"/>
    <n v="0"/>
    <n v="0"/>
    <n v="0"/>
    <n v="0"/>
    <n v="0"/>
    <n v="76.599999999999994"/>
  </r>
  <r>
    <x v="1372"/>
    <d v="2025-05-05T00:00:00"/>
    <x v="1"/>
    <s v="East"/>
    <s v="Desktop"/>
    <s v="Paid Search"/>
    <s v="Free"/>
    <n v="1"/>
    <n v="1"/>
    <n v="1"/>
    <n v="0"/>
    <n v="0"/>
    <n v="0"/>
    <n v="0"/>
    <n v="0"/>
    <n v="54.4"/>
  </r>
  <r>
    <x v="1373"/>
    <d v="2025-04-11T00:00:00"/>
    <x v="1"/>
    <s v="South"/>
    <s v="Mobile"/>
    <s v="Social"/>
    <s v="Free"/>
    <n v="1"/>
    <n v="0"/>
    <n v="0"/>
    <n v="0"/>
    <n v="0"/>
    <n v="0"/>
    <n v="0"/>
    <n v="0"/>
    <n v="31.2"/>
  </r>
  <r>
    <x v="1374"/>
    <d v="2025-03-25T00:00:00"/>
    <x v="1"/>
    <s v="West"/>
    <s v="Desktop"/>
    <s v="Email"/>
    <s v="Premium"/>
    <n v="1"/>
    <n v="0"/>
    <n v="0"/>
    <n v="0"/>
    <n v="0"/>
    <n v="0"/>
    <n v="0"/>
    <n v="0"/>
    <n v="72.400000000000006"/>
  </r>
  <r>
    <x v="1375"/>
    <d v="2025-03-24T00:00:00"/>
    <x v="1"/>
    <s v="North"/>
    <s v="Mobile"/>
    <s v="Organic"/>
    <s v="Premium"/>
    <n v="1"/>
    <n v="0"/>
    <n v="0"/>
    <n v="0"/>
    <n v="0"/>
    <n v="0"/>
    <n v="0"/>
    <n v="0"/>
    <n v="74.5"/>
  </r>
  <r>
    <x v="1376"/>
    <d v="2025-04-27T00:00:00"/>
    <x v="1"/>
    <s v="East"/>
    <s v="Mobile"/>
    <s v="Organic"/>
    <s v="Basic"/>
    <n v="0"/>
    <n v="0"/>
    <n v="0"/>
    <n v="0"/>
    <n v="0"/>
    <n v="0"/>
    <n v="0"/>
    <n v="0"/>
    <n v="52.6"/>
  </r>
  <r>
    <x v="1377"/>
    <d v="2025-01-25T00:00:00"/>
    <x v="1"/>
    <s v="North"/>
    <s v="Desktop"/>
    <s v="Paid Search"/>
    <s v="Free"/>
    <n v="1"/>
    <n v="0"/>
    <n v="0"/>
    <n v="0"/>
    <n v="0"/>
    <n v="0"/>
    <n v="0"/>
    <n v="0"/>
    <n v="75.400000000000006"/>
  </r>
  <r>
    <x v="1378"/>
    <d v="2025-02-17T00:00:00"/>
    <x v="1"/>
    <s v="North"/>
    <s v="Tablet"/>
    <s v="Social"/>
    <s v="Basic"/>
    <n v="1"/>
    <n v="1"/>
    <n v="1"/>
    <n v="1"/>
    <n v="751.33"/>
    <n v="0"/>
    <n v="0"/>
    <n v="9"/>
    <n v="34"/>
  </r>
  <r>
    <x v="1379"/>
    <d v="2025-04-13T00:00:00"/>
    <x v="1"/>
    <s v="South"/>
    <s v="Desktop"/>
    <s v="Organic"/>
    <s v="Free"/>
    <n v="1"/>
    <n v="0"/>
    <n v="0"/>
    <n v="0"/>
    <n v="0"/>
    <n v="0"/>
    <n v="0"/>
    <n v="0"/>
    <n v="67.099999999999994"/>
  </r>
  <r>
    <x v="1380"/>
    <d v="2025-05-03T00:00:00"/>
    <x v="1"/>
    <s v="West"/>
    <s v="Desktop"/>
    <s v="Paid Search"/>
    <s v="Premium"/>
    <n v="1"/>
    <n v="0"/>
    <n v="0"/>
    <n v="0"/>
    <n v="0"/>
    <n v="0"/>
    <n v="0"/>
    <n v="0"/>
    <n v="37.299999999999997"/>
  </r>
  <r>
    <x v="1381"/>
    <d v="2025-04-29T00:00:00"/>
    <x v="1"/>
    <s v="West"/>
    <s v="Mobile"/>
    <s v="Email"/>
    <s v="Free"/>
    <n v="1"/>
    <n v="0"/>
    <n v="0"/>
    <n v="0"/>
    <n v="0"/>
    <n v="0"/>
    <n v="0"/>
    <n v="0"/>
    <n v="54.7"/>
  </r>
  <r>
    <x v="1382"/>
    <d v="2025-05-03T00:00:00"/>
    <x v="1"/>
    <s v="East"/>
    <s v="Desktop"/>
    <s v="Paid Search"/>
    <s v="Free"/>
    <n v="1"/>
    <n v="0"/>
    <n v="0"/>
    <n v="0"/>
    <n v="0"/>
    <n v="0"/>
    <n v="0"/>
    <n v="0"/>
    <n v="51.8"/>
  </r>
  <r>
    <x v="1383"/>
    <d v="2025-04-28T00:00:00"/>
    <x v="1"/>
    <s v="West"/>
    <s v="Mobile"/>
    <s v="Paid Search"/>
    <s v="Free"/>
    <n v="0"/>
    <n v="0"/>
    <n v="0"/>
    <n v="0"/>
    <n v="0"/>
    <n v="0"/>
    <n v="0"/>
    <n v="0"/>
    <n v="49.2"/>
  </r>
  <r>
    <x v="1384"/>
    <d v="2025-01-21T00:00:00"/>
    <x v="1"/>
    <s v="West"/>
    <s v="Mobile"/>
    <s v="Organic"/>
    <s v="Free"/>
    <n v="1"/>
    <n v="0"/>
    <n v="0"/>
    <n v="0"/>
    <n v="0"/>
    <n v="2"/>
    <n v="0"/>
    <n v="0"/>
    <n v="58.8"/>
  </r>
  <r>
    <x v="1385"/>
    <d v="2025-01-21T00:00:00"/>
    <x v="1"/>
    <s v="North"/>
    <s v="Tablet"/>
    <s v="Paid Search"/>
    <s v="Basic"/>
    <n v="0"/>
    <n v="0"/>
    <n v="0"/>
    <n v="0"/>
    <n v="0"/>
    <n v="1"/>
    <n v="0"/>
    <n v="0"/>
    <n v="59.1"/>
  </r>
  <r>
    <x v="1386"/>
    <d v="2025-05-21T00:00:00"/>
    <x v="1"/>
    <s v="West"/>
    <s v="Desktop"/>
    <s v="Paid Search"/>
    <s v="Free"/>
    <n v="1"/>
    <n v="0"/>
    <n v="0"/>
    <n v="0"/>
    <n v="0"/>
    <n v="2"/>
    <n v="0"/>
    <n v="0"/>
    <n v="49.6"/>
  </r>
  <r>
    <x v="1387"/>
    <d v="2025-01-05T00:00:00"/>
    <x v="1"/>
    <s v="North"/>
    <s v="Mobile"/>
    <s v="Referral"/>
    <s v="Free"/>
    <n v="0"/>
    <n v="0"/>
    <n v="0"/>
    <n v="0"/>
    <n v="0"/>
    <n v="0"/>
    <n v="0"/>
    <n v="0"/>
    <n v="58.2"/>
  </r>
  <r>
    <x v="1388"/>
    <d v="2025-03-06T00:00:00"/>
    <x v="1"/>
    <s v="South"/>
    <s v="Desktop"/>
    <s v="Organic"/>
    <s v="Free"/>
    <n v="1"/>
    <n v="0"/>
    <n v="0"/>
    <n v="0"/>
    <n v="0"/>
    <n v="0"/>
    <n v="0"/>
    <n v="0"/>
    <n v="66.8"/>
  </r>
  <r>
    <x v="1389"/>
    <d v="2025-04-18T00:00:00"/>
    <x v="1"/>
    <s v="North"/>
    <s v="Mobile"/>
    <s v="Paid Search"/>
    <s v="Free"/>
    <n v="1"/>
    <n v="0"/>
    <n v="0"/>
    <n v="0"/>
    <n v="0"/>
    <n v="3"/>
    <n v="0"/>
    <n v="0"/>
    <n v="58.3"/>
  </r>
  <r>
    <x v="1390"/>
    <d v="2025-04-15T00:00:00"/>
    <x v="1"/>
    <s v="West"/>
    <s v="Mobile"/>
    <s v="Organic"/>
    <s v="Basic"/>
    <n v="1"/>
    <n v="1"/>
    <n v="1"/>
    <n v="0"/>
    <n v="0"/>
    <n v="0"/>
    <n v="0"/>
    <n v="0"/>
    <n v="38.5"/>
  </r>
  <r>
    <x v="1391"/>
    <d v="2025-02-10T00:00:00"/>
    <x v="1"/>
    <s v="East"/>
    <s v="Mobile"/>
    <s v="Paid Search"/>
    <s v="Free"/>
    <n v="1"/>
    <n v="0"/>
    <n v="0"/>
    <n v="0"/>
    <n v="0"/>
    <n v="0"/>
    <n v="0"/>
    <n v="0"/>
    <n v="76.900000000000006"/>
  </r>
  <r>
    <x v="1392"/>
    <d v="2025-05-08T00:00:00"/>
    <x v="1"/>
    <s v="East"/>
    <s v="Mobile"/>
    <s v="Organic"/>
    <s v="Free"/>
    <n v="1"/>
    <n v="0"/>
    <n v="0"/>
    <n v="0"/>
    <n v="0"/>
    <n v="0"/>
    <n v="0"/>
    <n v="0"/>
    <n v="54"/>
  </r>
  <r>
    <x v="1393"/>
    <d v="2025-05-28T00:00:00"/>
    <x v="1"/>
    <s v="East"/>
    <s v="Tablet"/>
    <s v="Organic"/>
    <s v="Free"/>
    <n v="1"/>
    <n v="0"/>
    <n v="0"/>
    <n v="0"/>
    <n v="0"/>
    <n v="0"/>
    <n v="0"/>
    <n v="0"/>
    <n v="70.599999999999994"/>
  </r>
  <r>
    <x v="1394"/>
    <d v="2025-04-25T00:00:00"/>
    <x v="1"/>
    <s v="North"/>
    <s v="Tablet"/>
    <s v="Referral"/>
    <s v="Premium"/>
    <n v="1"/>
    <n v="1"/>
    <n v="1"/>
    <n v="0"/>
    <n v="0"/>
    <n v="1"/>
    <n v="0"/>
    <n v="0"/>
    <n v="69.400000000000006"/>
  </r>
  <r>
    <x v="1395"/>
    <d v="2025-02-11T00:00:00"/>
    <x v="1"/>
    <s v="South"/>
    <s v="Mobile"/>
    <s v="Unknown"/>
    <s v="Premium"/>
    <n v="1"/>
    <n v="1"/>
    <n v="1"/>
    <n v="1"/>
    <n v="1009.9"/>
    <n v="0"/>
    <n v="0"/>
    <n v="6"/>
    <n v="89.7"/>
  </r>
  <r>
    <x v="1396"/>
    <d v="2025-04-14T00:00:00"/>
    <x v="1"/>
    <s v="West"/>
    <s v="Mobile"/>
    <s v="Organic"/>
    <s v="Free"/>
    <n v="1"/>
    <n v="0"/>
    <n v="0"/>
    <n v="0"/>
    <n v="0"/>
    <n v="0"/>
    <n v="0"/>
    <n v="0"/>
    <n v="62.4"/>
  </r>
  <r>
    <x v="1397"/>
    <d v="2025-02-04T00:00:00"/>
    <x v="1"/>
    <s v="West"/>
    <s v="Tablet"/>
    <s v="Organic"/>
    <s v="Premium"/>
    <n v="0"/>
    <n v="0"/>
    <n v="0"/>
    <n v="0"/>
    <n v="0"/>
    <n v="0"/>
    <n v="0"/>
    <n v="0"/>
    <n v="67.3"/>
  </r>
  <r>
    <x v="1398"/>
    <d v="2025-03-22T00:00:00"/>
    <x v="1"/>
    <s v="East"/>
    <s v="Mobile"/>
    <s v="Referral"/>
    <s v="Free"/>
    <n v="1"/>
    <n v="0"/>
    <n v="0"/>
    <n v="0"/>
    <n v="0"/>
    <n v="0"/>
    <n v="0"/>
    <n v="0"/>
    <n v="54.9"/>
  </r>
  <r>
    <x v="1399"/>
    <d v="2025-04-18T00:00:00"/>
    <x v="1"/>
    <s v="East"/>
    <s v="Desktop"/>
    <s v="Social"/>
    <s v="Free"/>
    <n v="0"/>
    <n v="0"/>
    <n v="0"/>
    <n v="0"/>
    <n v="0"/>
    <n v="0"/>
    <n v="0"/>
    <n v="0"/>
    <n v="55.7"/>
  </r>
  <r>
    <x v="1400"/>
    <m/>
    <x v="2"/>
    <m/>
    <m/>
    <m/>
    <m/>
    <m/>
    <m/>
    <m/>
    <m/>
    <m/>
    <m/>
    <m/>
    <m/>
    <m/>
  </r>
  <r>
    <x v="1400"/>
    <m/>
    <x v="2"/>
    <m/>
    <m/>
    <m/>
    <m/>
    <m/>
    <m/>
    <m/>
    <m/>
    <m/>
    <m/>
    <m/>
    <m/>
    <m/>
  </r>
  <r>
    <x v="1400"/>
    <m/>
    <x v="2"/>
    <m/>
    <m/>
    <m/>
    <m/>
    <m/>
    <m/>
    <m/>
    <m/>
    <m/>
    <m/>
    <m/>
    <m/>
    <m/>
  </r>
  <r>
    <x v="1400"/>
    <m/>
    <x v="2"/>
    <m/>
    <m/>
    <m/>
    <m/>
    <m/>
    <m/>
    <m/>
    <m/>
    <m/>
    <m/>
    <m/>
    <m/>
    <m/>
  </r>
  <r>
    <x v="1400"/>
    <m/>
    <x v="2"/>
    <m/>
    <m/>
    <m/>
    <m/>
    <m/>
    <m/>
    <m/>
    <m/>
    <m/>
    <m/>
    <m/>
    <m/>
    <m/>
  </r>
  <r>
    <x v="1400"/>
    <m/>
    <x v="2"/>
    <m/>
    <m/>
    <m/>
    <m/>
    <m/>
    <m/>
    <m/>
    <m/>
    <m/>
    <m/>
    <m/>
    <m/>
    <m/>
  </r>
  <r>
    <x v="1400"/>
    <m/>
    <x v="2"/>
    <m/>
    <m/>
    <m/>
    <m/>
    <m/>
    <m/>
    <m/>
    <m/>
    <m/>
    <m/>
    <m/>
    <m/>
    <m/>
  </r>
  <r>
    <x v="1400"/>
    <m/>
    <x v="2"/>
    <m/>
    <m/>
    <m/>
    <m/>
    <m/>
    <m/>
    <m/>
    <m/>
    <m/>
    <m/>
    <m/>
    <m/>
    <m/>
  </r>
  <r>
    <x v="1400"/>
    <m/>
    <x v="2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CEDAD-C9A5-49DD-816F-F00D694A6601}" name="PivotTable23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1:B34" firstHeaderRow="1" firstDataRow="1" firstDataCol="1"/>
  <pivotFields count="16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converted_to_paid" fld="10" subtotal="average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57691-A85B-40E4-9DA2-2A9D477F853F}" name="PivotTable2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8:B71" firstHeaderRow="1" firstDataRow="1" firstDataCol="1"/>
  <pivotFields count="16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days_to_convert" fld="14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B313A-2363-4DB9-A6C0-51DED227EA53}" name="PivotTable1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B27" firstHeaderRow="1" firstDataRow="1" firstDataCol="1"/>
  <pivotFields count="16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completed_onboarding" fld="9" subtotal="average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2EE20-C942-4952-9985-44AF4D00DF2F}" name="PivotTable2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1:B64" firstHeaderRow="1" firstDataRow="1" firstDataCol="1"/>
  <pivotFields count="16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engagement_score" fld="15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2CA4A-5FDC-4DBD-9551-9C94555EE26F}" name="PivotTable1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0" firstHeaderRow="1" firstDataRow="1" firstDataCol="1"/>
  <pivotFields count="16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started_trial" fld="8" subtotal="average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C22CA-3CEE-4F8E-AA95-AD2BDC4FB1D2}" name="PivotTable1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3" firstHeaderRow="1" firstDataRow="1" firstDataCol="1"/>
  <pivotFields count="16">
    <pivotField showAll="0">
      <items count="1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t="default"/>
      </items>
    </pivotField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visited_landing_page" fld="7" subtotal="average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5E63D-1520-47AD-A14F-63D8206D9BBA}" name="PivotTable2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4:B57" firstHeaderRow="1" firstDataRow="1" firstDataCol="1"/>
  <pivotFields count="16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revenue_30d" fld="11" subtotal="average" baseField="2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BDFC8-5B3A-4795-A2AB-488CFE393F9B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dataField="1" showAll="0">
      <items count="1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t="default"/>
      </items>
    </pivotField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E6EB5-7203-4D47-B1F4-2556CEB4AFBA}" name="PivotTable1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8:B51" firstHeaderRow="1" firstDataRow="1" firstDataCol="1"/>
  <pivotFields count="16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support_tickets_30d" fld="12" subtotal="average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E5A1A6-3354-4A59-95D1-FD510AE5FD09}" name="PivotTable1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B41" firstHeaderRow="1" firstDataRow="1" firstDataCol="1"/>
  <pivotFields count="16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refund_requested" fld="13" subtotal="average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27F7D-5999-411C-8C66-F8D8F50E271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8" firstHeaderRow="1" firstDataRow="2" firstDataCol="1"/>
  <pivotFields count="16">
    <pivotField showAll="0">
      <items count="1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t="default"/>
      </items>
    </pivotField>
    <pivotField showAll="0"/>
    <pivotField axis="axisCol" showAll="0" sortType="ascending">
      <items count="4">
        <item x="0"/>
        <item x="1"/>
        <item h="1" x="2"/>
        <item t="default"/>
      </items>
    </pivotField>
    <pivotField axis="axisRow" showAll="0">
      <items count="6">
        <item x="2"/>
        <item x="0"/>
        <item x="3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89C49-DC79-4DDB-AAC0-A25A89852619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:D38" firstHeaderRow="1" firstDataRow="2" firstDataCol="1"/>
  <pivotFields count="16">
    <pivotField showAll="0">
      <items count="1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t="default"/>
      </items>
    </pivotField>
    <pivotField numFmtId="164" showAll="0"/>
    <pivotField axis="axisCol" showAll="0" sortType="ascending">
      <items count="3">
        <item x="0"/>
        <item x="1"/>
        <item t="default"/>
      </items>
    </pivotField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revenue_30d" fld="11" subtotal="average" baseField="6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5742E-544C-4A31-9E83-094D33859D16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D28" firstHeaderRow="1" firstDataRow="2" firstDataCol="1"/>
  <pivotFields count="16">
    <pivotField showAll="0">
      <items count="1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t="default"/>
      </items>
    </pivotField>
    <pivotField numFmtId="164" showAll="0"/>
    <pivotField axis="axisCol" showAll="0" sortType="ascending">
      <items count="3">
        <item x="0"/>
        <item x="1"/>
        <item t="default"/>
      </items>
    </pivotField>
    <pivotField showAll="0"/>
    <pivotField showAll="0"/>
    <pivotField axis="axisRow" showAll="0" sortType="ascending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revenue_30d" fld="11" subtotal="average" baseField="5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F7066-0CE8-40A3-9750-B8ED9257D38E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17" firstHeaderRow="1" firstDataRow="2" firstDataCol="1"/>
  <pivotFields count="16">
    <pivotField showAll="0">
      <items count="1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t="default"/>
      </items>
    </pivotField>
    <pivotField numFmtId="164" showAll="0"/>
    <pivotField axis="axisCol" showAll="0" sortType="ascending">
      <items count="3">
        <item x="0"/>
        <item x="1"/>
        <item t="default"/>
      </items>
    </pivotField>
    <pivotField showAll="0"/>
    <pivotField axis="axisRow" showAll="0" sortType="ascending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started_trial" fld="8" subtotal="average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A7686-26F7-4D11-AB3E-FDF76D1D548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16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converted_to_paid" fld="10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pivotTable" Target="../pivotTables/pivot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812B-98D4-4224-8B92-A0A0E8E8395C}">
  <dimension ref="A1:W1401"/>
  <sheetViews>
    <sheetView tabSelected="1" workbookViewId="0">
      <selection activeCell="I692" sqref="I692"/>
    </sheetView>
  </sheetViews>
  <sheetFormatPr defaultRowHeight="14.4"/>
  <cols>
    <col min="1" max="16" width="17.77734375" customWidth="1"/>
    <col min="18" max="18" width="12.21875" customWidth="1"/>
  </cols>
  <sheetData>
    <row r="1" spans="1:23" ht="55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1" t="s">
        <v>1434</v>
      </c>
      <c r="S1" s="1" t="s">
        <v>1435</v>
      </c>
      <c r="W1" t="s">
        <v>1463</v>
      </c>
    </row>
    <row r="2" spans="1:23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45.7</v>
      </c>
      <c r="R2">
        <f>COUNTIF(H:H,"&lt;0")</f>
        <v>0</v>
      </c>
      <c r="S2">
        <f>MAX(L2:L1409)</f>
        <v>8610.7199999999993</v>
      </c>
    </row>
    <row r="3" spans="1:23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48.6</v>
      </c>
      <c r="R3">
        <f>COUNTIF(I:I,"&lt;0")</f>
        <v>0</v>
      </c>
      <c r="S3">
        <f>MIN(L2:L1409)</f>
        <v>0</v>
      </c>
    </row>
    <row r="4" spans="1:23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35.4</v>
      </c>
      <c r="R4">
        <f>COUNTIF(J:J,"&lt;0")</f>
        <v>0</v>
      </c>
      <c r="S4">
        <f>AVERAGE(L2:L1409)</f>
        <v>53.130707142857133</v>
      </c>
    </row>
    <row r="5" spans="1:23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64.599999999999994</v>
      </c>
      <c r="R5">
        <f>COUNTIF(K:K,"&lt;0")</f>
        <v>0</v>
      </c>
    </row>
    <row r="6" spans="1:23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66.599999999999994</v>
      </c>
      <c r="R6">
        <f>COUNTIF(N:N,"&lt;0")</f>
        <v>0</v>
      </c>
    </row>
    <row r="7" spans="1:23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40.799999999999997</v>
      </c>
    </row>
    <row r="8" spans="1:23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57.1</v>
      </c>
    </row>
    <row r="9" spans="1:23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36.4</v>
      </c>
    </row>
    <row r="10" spans="1:23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55.4</v>
      </c>
    </row>
    <row r="11" spans="1:23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57.3</v>
      </c>
    </row>
    <row r="12" spans="1:23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63.6</v>
      </c>
    </row>
    <row r="13" spans="1:23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80.400000000000006</v>
      </c>
    </row>
    <row r="14" spans="1:23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62.4</v>
      </c>
    </row>
    <row r="15" spans="1:23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82.4</v>
      </c>
    </row>
    <row r="16" spans="1:23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O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O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O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O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O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O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O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O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O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E125" t="s">
        <v>1433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O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O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E172" t="s">
        <v>1433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O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O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E212" t="s">
        <v>1433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O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O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O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O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F301" t="s">
        <v>1433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O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O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O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O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O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O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F456" t="s">
        <v>1433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O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E463" t="s">
        <v>1433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F466" t="s">
        <v>1433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E483" t="s">
        <v>1433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O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O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O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F514" t="s">
        <v>1433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O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O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E552" t="s">
        <v>1433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E556" t="s">
        <v>1433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O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O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O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O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O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O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F636" t="s">
        <v>1433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O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O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E674" t="s">
        <v>1433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E675" t="s">
        <v>1433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F690" t="s">
        <v>1433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O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O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O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O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F724" t="s">
        <v>1433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O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F730" t="s">
        <v>1433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O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O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F742" t="s">
        <v>1433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O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O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O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E767" t="s">
        <v>1433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O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O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O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O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O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O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O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O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O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O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E874" t="s">
        <v>1433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O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O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F899" t="s">
        <v>1433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O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O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O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F938" t="s">
        <v>1433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O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O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F953" t="s">
        <v>1433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O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O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F968" t="s">
        <v>1433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O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O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O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O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O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F1019" t="s">
        <v>1433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O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O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O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O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F1046" t="s">
        <v>1433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E1049" t="s">
        <v>1433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O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0</v>
      </c>
      <c r="P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O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O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O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O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O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O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O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O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F1135" t="s">
        <v>1433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O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F1149" t="s">
        <v>1433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O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O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E1178" t="s">
        <v>1433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O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O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E1190" t="s">
        <v>1433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E1197" t="s">
        <v>1433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O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O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O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O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O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E1229" t="s">
        <v>1433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F1237" t="s">
        <v>1433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F1241" t="s">
        <v>1433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O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O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F1257" t="s">
        <v>1433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E1272" t="s">
        <v>1433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O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O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O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O1300">
        <v>0</v>
      </c>
      <c r="P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O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F1316" t="s">
        <v>1433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F1329" t="s">
        <v>1433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E1336" t="s">
        <v>1433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O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O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O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O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F1357" t="s">
        <v>1433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O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O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O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O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O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O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O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O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F1397" t="s">
        <v>1433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55.7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477B4-C3C6-4003-A388-4E56E4B0F4E0}">
  <dimension ref="A1:D6"/>
  <sheetViews>
    <sheetView workbookViewId="0">
      <selection activeCell="G10" sqref="G10"/>
    </sheetView>
  </sheetViews>
  <sheetFormatPr defaultRowHeight="14.4"/>
  <cols>
    <col min="1" max="1" width="19.21875" customWidth="1"/>
    <col min="2" max="2" width="16.44140625" bestFit="1" customWidth="1"/>
    <col min="3" max="3" width="10.88671875" customWidth="1"/>
    <col min="4" max="4" width="19.109375" customWidth="1"/>
  </cols>
  <sheetData>
    <row r="1" spans="1:4" ht="18">
      <c r="A1" s="6" t="s">
        <v>1450</v>
      </c>
      <c r="B1" s="6" t="s">
        <v>1445</v>
      </c>
      <c r="C1" s="6" t="s">
        <v>1446</v>
      </c>
      <c r="D1" s="6" t="s">
        <v>1447</v>
      </c>
    </row>
    <row r="2" spans="1:4">
      <c r="A2" t="s">
        <v>0</v>
      </c>
      <c r="B2">
        <v>0</v>
      </c>
      <c r="C2" s="5">
        <v>0</v>
      </c>
      <c r="D2" t="s">
        <v>1449</v>
      </c>
    </row>
    <row r="3" spans="1:4">
      <c r="A3" t="s">
        <v>1448</v>
      </c>
      <c r="B3">
        <v>0</v>
      </c>
      <c r="C3" s="5">
        <v>0</v>
      </c>
      <c r="D3" t="s">
        <v>1449</v>
      </c>
    </row>
    <row r="4" spans="1:4">
      <c r="A4" t="s">
        <v>1443</v>
      </c>
      <c r="B4">
        <v>0</v>
      </c>
      <c r="C4" s="5">
        <v>0</v>
      </c>
      <c r="D4" t="s">
        <v>1449</v>
      </c>
    </row>
    <row r="5" spans="1:4">
      <c r="A5" t="s">
        <v>15</v>
      </c>
      <c r="B5">
        <v>0</v>
      </c>
      <c r="C5" s="5">
        <v>0</v>
      </c>
      <c r="D5" t="s">
        <v>1449</v>
      </c>
    </row>
    <row r="6" spans="1:4">
      <c r="A6" t="s">
        <v>4</v>
      </c>
      <c r="B6">
        <v>0</v>
      </c>
      <c r="C6" s="5">
        <v>0</v>
      </c>
      <c r="D6" t="s">
        <v>1449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9A06-F623-4656-ADF7-7195704AE738}">
  <dimension ref="A1:D4"/>
  <sheetViews>
    <sheetView workbookViewId="0">
      <selection activeCell="F7" sqref="F7"/>
    </sheetView>
  </sheetViews>
  <sheetFormatPr defaultRowHeight="14.4"/>
  <cols>
    <col min="2" max="2" width="12.6640625" customWidth="1"/>
    <col min="3" max="3" width="15.109375" customWidth="1"/>
    <col min="4" max="4" width="30.5546875" customWidth="1"/>
  </cols>
  <sheetData>
    <row r="1" spans="1:4" ht="18">
      <c r="A1" s="6" t="s">
        <v>1451</v>
      </c>
      <c r="B1" s="6" t="s">
        <v>1452</v>
      </c>
      <c r="C1" s="6" t="s">
        <v>1453</v>
      </c>
      <c r="D1" s="6" t="s">
        <v>1442</v>
      </c>
    </row>
    <row r="2" spans="1:4">
      <c r="A2" t="s">
        <v>17</v>
      </c>
      <c r="B2">
        <v>693</v>
      </c>
      <c r="C2">
        <f>B2/B4*100</f>
        <v>49.21875</v>
      </c>
      <c r="D2" t="s">
        <v>1456</v>
      </c>
    </row>
    <row r="3" spans="1:4">
      <c r="A3" t="s">
        <v>1454</v>
      </c>
      <c r="B3">
        <v>715</v>
      </c>
      <c r="C3">
        <f>B3/B4*100</f>
        <v>50.78125</v>
      </c>
      <c r="D3" t="s">
        <v>1456</v>
      </c>
    </row>
    <row r="4" spans="1:4">
      <c r="A4" t="s">
        <v>1455</v>
      </c>
      <c r="B4">
        <v>1408</v>
      </c>
      <c r="C4">
        <f>C2+C3</f>
        <v>100</v>
      </c>
      <c r="D4" t="s">
        <v>1457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1054-FCF8-4E7F-9940-620E252F2AD0}">
  <dimension ref="A1:C2"/>
  <sheetViews>
    <sheetView workbookViewId="0">
      <selection activeCell="D9" sqref="D9"/>
    </sheetView>
  </sheetViews>
  <sheetFormatPr defaultRowHeight="14.4"/>
  <cols>
    <col min="1" max="1" width="14.5546875" customWidth="1"/>
    <col min="3" max="3" width="46.77734375" customWidth="1"/>
  </cols>
  <sheetData>
    <row r="1" spans="1:3" ht="18">
      <c r="A1" s="6" t="s">
        <v>1458</v>
      </c>
      <c r="B1" s="6" t="s">
        <v>1459</v>
      </c>
      <c r="C1" s="6" t="s">
        <v>1460</v>
      </c>
    </row>
    <row r="2" spans="1:3">
      <c r="A2" t="s">
        <v>1461</v>
      </c>
      <c r="B2">
        <v>8</v>
      </c>
      <c r="C2" t="s">
        <v>1462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75E9B-3546-46D3-826D-4B9B7156315A}">
  <dimension ref="A1:D6"/>
  <sheetViews>
    <sheetView workbookViewId="0">
      <selection activeCell="C7" sqref="C7"/>
    </sheetView>
  </sheetViews>
  <sheetFormatPr defaultRowHeight="14.4"/>
  <cols>
    <col min="1" max="1" width="20.109375" bestFit="1" customWidth="1"/>
    <col min="2" max="2" width="24.109375" customWidth="1"/>
    <col min="3" max="3" width="28.33203125" customWidth="1"/>
    <col min="4" max="4" width="16.21875" customWidth="1"/>
  </cols>
  <sheetData>
    <row r="1" spans="1:4" ht="18">
      <c r="A1" s="6" t="s">
        <v>1444</v>
      </c>
      <c r="B1" s="6" t="s">
        <v>1464</v>
      </c>
      <c r="C1" s="6" t="s">
        <v>1465</v>
      </c>
      <c r="D1" s="6" t="s">
        <v>1466</v>
      </c>
    </row>
    <row r="2" spans="1:4">
      <c r="A2" t="s">
        <v>7</v>
      </c>
      <c r="B2" t="s">
        <v>1467</v>
      </c>
      <c r="C2" t="s">
        <v>1468</v>
      </c>
      <c r="D2" t="s">
        <v>1449</v>
      </c>
    </row>
    <row r="3" spans="1:4">
      <c r="A3" t="s">
        <v>8</v>
      </c>
      <c r="B3" t="s">
        <v>1467</v>
      </c>
      <c r="C3" t="s">
        <v>1468</v>
      </c>
      <c r="D3" t="s">
        <v>1449</v>
      </c>
    </row>
    <row r="4" spans="1:4">
      <c r="A4" t="s">
        <v>9</v>
      </c>
      <c r="B4" t="s">
        <v>1467</v>
      </c>
      <c r="C4" t="s">
        <v>1468</v>
      </c>
      <c r="D4" t="s">
        <v>1449</v>
      </c>
    </row>
    <row r="5" spans="1:4">
      <c r="A5" t="s">
        <v>10</v>
      </c>
      <c r="B5" t="s">
        <v>1467</v>
      </c>
      <c r="C5" t="s">
        <v>1468</v>
      </c>
      <c r="D5" t="s">
        <v>1449</v>
      </c>
    </row>
    <row r="6" spans="1:4">
      <c r="A6" t="s">
        <v>13</v>
      </c>
      <c r="B6" t="s">
        <v>1467</v>
      </c>
      <c r="C6" t="s">
        <v>1468</v>
      </c>
      <c r="D6" t="s">
        <v>1449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A36F-1BE0-420C-9EF6-9882F9B006C3}">
  <dimension ref="A1:C6"/>
  <sheetViews>
    <sheetView workbookViewId="0">
      <selection activeCell="C10" sqref="C10"/>
    </sheetView>
  </sheetViews>
  <sheetFormatPr defaultRowHeight="14.4"/>
  <cols>
    <col min="1" max="1" width="17" customWidth="1"/>
    <col min="2" max="2" width="16.21875" customWidth="1"/>
    <col min="3" max="3" width="71.44140625" customWidth="1"/>
  </cols>
  <sheetData>
    <row r="1" spans="1:3" ht="18">
      <c r="A1" s="6" t="s">
        <v>1440</v>
      </c>
      <c r="B1" s="6" t="s">
        <v>1441</v>
      </c>
      <c r="C1" s="6" t="s">
        <v>1442</v>
      </c>
    </row>
    <row r="2" spans="1:3">
      <c r="A2" t="s">
        <v>1469</v>
      </c>
      <c r="B2">
        <v>0</v>
      </c>
      <c r="C2" t="s">
        <v>1476</v>
      </c>
    </row>
    <row r="3" spans="1:3">
      <c r="A3" t="s">
        <v>1470</v>
      </c>
      <c r="B3">
        <v>8610.7199999999993</v>
      </c>
      <c r="C3" t="s">
        <v>1477</v>
      </c>
    </row>
    <row r="4" spans="1:3">
      <c r="A4" t="s">
        <v>1471</v>
      </c>
      <c r="B4">
        <v>52.83</v>
      </c>
      <c r="C4" t="s">
        <v>1479</v>
      </c>
    </row>
    <row r="5" spans="1:3">
      <c r="A5" t="s">
        <v>1472</v>
      </c>
      <c r="B5" t="s">
        <v>1474</v>
      </c>
      <c r="C5" t="s">
        <v>1478</v>
      </c>
    </row>
    <row r="6" spans="1:3">
      <c r="A6" t="s">
        <v>1473</v>
      </c>
      <c r="B6" t="s">
        <v>1475</v>
      </c>
      <c r="C6" t="s">
        <v>1480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4C0C6-A9E4-4903-86B3-4D16085E782B}">
  <dimension ref="A2:B71"/>
  <sheetViews>
    <sheetView topLeftCell="A25" workbookViewId="0">
      <selection activeCell="A31" sqref="A31"/>
    </sheetView>
  </sheetViews>
  <sheetFormatPr defaultRowHeight="14.4"/>
  <cols>
    <col min="1" max="1" width="12.5546875" bestFit="1" customWidth="1"/>
    <col min="2" max="2" width="27" bestFit="1" customWidth="1"/>
    <col min="3" max="3" width="24.6640625" bestFit="1" customWidth="1"/>
  </cols>
  <sheetData>
    <row r="2" spans="1:2" ht="18">
      <c r="A2" s="6" t="s">
        <v>1507</v>
      </c>
    </row>
    <row r="3" spans="1:2">
      <c r="A3" s="3" t="s">
        <v>1436</v>
      </c>
      <c r="B3" t="s">
        <v>1438</v>
      </c>
    </row>
    <row r="4" spans="1:2">
      <c r="A4" s="4" t="s">
        <v>17</v>
      </c>
      <c r="B4">
        <v>690</v>
      </c>
    </row>
    <row r="5" spans="1:2">
      <c r="A5" s="4" t="s">
        <v>723</v>
      </c>
      <c r="B5">
        <v>710</v>
      </c>
    </row>
    <row r="6" spans="1:2">
      <c r="A6" s="4" t="s">
        <v>1437</v>
      </c>
      <c r="B6">
        <v>1400</v>
      </c>
    </row>
    <row r="9" spans="1:2" ht="18">
      <c r="A9" s="4" t="s">
        <v>1490</v>
      </c>
    </row>
    <row r="10" spans="1:2">
      <c r="A10" s="3" t="s">
        <v>1436</v>
      </c>
      <c r="B10" t="s">
        <v>1489</v>
      </c>
    </row>
    <row r="11" spans="1:2">
      <c r="A11" s="4" t="s">
        <v>17</v>
      </c>
      <c r="B11" s="5">
        <v>0.63623188405797104</v>
      </c>
    </row>
    <row r="12" spans="1:2">
      <c r="A12" s="4" t="s">
        <v>723</v>
      </c>
      <c r="B12" s="5">
        <v>0.72394366197183102</v>
      </c>
    </row>
    <row r="13" spans="1:2">
      <c r="A13" s="4" t="s">
        <v>1437</v>
      </c>
      <c r="B13" s="5">
        <v>0.68071428571428572</v>
      </c>
    </row>
    <row r="16" spans="1:2" ht="18">
      <c r="A16" s="6" t="s">
        <v>1492</v>
      </c>
    </row>
    <row r="17" spans="1:2">
      <c r="A17" s="3" t="s">
        <v>1436</v>
      </c>
      <c r="B17" t="s">
        <v>1491</v>
      </c>
    </row>
    <row r="18" spans="1:2">
      <c r="A18" s="4" t="s">
        <v>17</v>
      </c>
      <c r="B18" s="5">
        <v>0.25072463768115943</v>
      </c>
    </row>
    <row r="19" spans="1:2">
      <c r="A19" s="4" t="s">
        <v>723</v>
      </c>
      <c r="B19" s="5">
        <v>0.29014084507042254</v>
      </c>
    </row>
    <row r="20" spans="1:2">
      <c r="A20" s="4" t="s">
        <v>1437</v>
      </c>
      <c r="B20" s="5">
        <v>0.27071428571428574</v>
      </c>
    </row>
    <row r="23" spans="1:2" ht="18">
      <c r="A23" s="6" t="s">
        <v>1494</v>
      </c>
    </row>
    <row r="24" spans="1:2">
      <c r="A24" s="3" t="s">
        <v>1436</v>
      </c>
      <c r="B24" t="s">
        <v>1493</v>
      </c>
    </row>
    <row r="25" spans="1:2">
      <c r="A25" s="4" t="s">
        <v>17</v>
      </c>
      <c r="B25" s="5">
        <v>0.15652173913043479</v>
      </c>
    </row>
    <row r="26" spans="1:2">
      <c r="A26" s="4" t="s">
        <v>723</v>
      </c>
      <c r="B26" s="5">
        <v>0.21126760563380281</v>
      </c>
    </row>
    <row r="27" spans="1:2">
      <c r="A27" s="4" t="s">
        <v>1437</v>
      </c>
      <c r="B27" s="5">
        <v>0.18428571428571427</v>
      </c>
    </row>
    <row r="30" spans="1:2" ht="18">
      <c r="A30" s="6" t="s">
        <v>1496</v>
      </c>
    </row>
    <row r="31" spans="1:2">
      <c r="A31" s="3" t="s">
        <v>1436</v>
      </c>
      <c r="B31" t="s">
        <v>1495</v>
      </c>
    </row>
    <row r="32" spans="1:2">
      <c r="A32" s="4" t="s">
        <v>17</v>
      </c>
      <c r="B32" s="5">
        <v>3.1884057971014491E-2</v>
      </c>
    </row>
    <row r="33" spans="1:2">
      <c r="A33" s="4" t="s">
        <v>723</v>
      </c>
      <c r="B33" s="5">
        <v>7.0422535211267609E-2</v>
      </c>
    </row>
    <row r="34" spans="1:2">
      <c r="A34" s="4" t="s">
        <v>1437</v>
      </c>
      <c r="B34" s="5">
        <v>5.1428571428571428E-2</v>
      </c>
    </row>
    <row r="37" spans="1:2" ht="18">
      <c r="A37" s="7" t="s">
        <v>1498</v>
      </c>
    </row>
    <row r="38" spans="1:2">
      <c r="A38" s="3" t="s">
        <v>1436</v>
      </c>
      <c r="B38" t="s">
        <v>1497</v>
      </c>
    </row>
    <row r="39" spans="1:2">
      <c r="A39" s="4" t="s">
        <v>17</v>
      </c>
      <c r="B39" s="5">
        <v>0</v>
      </c>
    </row>
    <row r="40" spans="1:2">
      <c r="A40" s="4" t="s">
        <v>723</v>
      </c>
      <c r="B40" s="5">
        <v>4.2253521126760559E-3</v>
      </c>
    </row>
    <row r="41" spans="1:2">
      <c r="A41" s="4" t="s">
        <v>1437</v>
      </c>
      <c r="B41" s="5">
        <v>2.142857142857143E-3</v>
      </c>
    </row>
    <row r="46" spans="1:2" ht="18">
      <c r="A46" s="6" t="s">
        <v>1500</v>
      </c>
    </row>
    <row r="48" spans="1:2">
      <c r="A48" s="3" t="s">
        <v>1436</v>
      </c>
      <c r="B48" t="s">
        <v>1499</v>
      </c>
    </row>
    <row r="49" spans="1:2">
      <c r="A49" s="4" t="s">
        <v>17</v>
      </c>
      <c r="B49" s="5">
        <v>0.22028985507246376</v>
      </c>
    </row>
    <row r="50" spans="1:2">
      <c r="A50" s="4" t="s">
        <v>723</v>
      </c>
      <c r="B50" s="5">
        <v>0.37323943661971831</v>
      </c>
    </row>
    <row r="51" spans="1:2">
      <c r="A51" s="4" t="s">
        <v>1437</v>
      </c>
      <c r="B51" s="5">
        <v>0.29785714285714288</v>
      </c>
    </row>
    <row r="53" spans="1:2" ht="18">
      <c r="A53" s="7" t="s">
        <v>1502</v>
      </c>
    </row>
    <row r="54" spans="1:2">
      <c r="A54" s="3" t="s">
        <v>1436</v>
      </c>
      <c r="B54" t="s">
        <v>1501</v>
      </c>
    </row>
    <row r="55" spans="1:2">
      <c r="A55" s="4" t="s">
        <v>17</v>
      </c>
      <c r="B55" s="9">
        <v>51.974318840579706</v>
      </c>
    </row>
    <row r="56" spans="1:2">
      <c r="A56" s="4" t="s">
        <v>723</v>
      </c>
      <c r="B56" s="9">
        <v>54.254521126760551</v>
      </c>
    </row>
    <row r="57" spans="1:2">
      <c r="A57" s="4" t="s">
        <v>1437</v>
      </c>
      <c r="B57" s="9">
        <v>53.130707142857133</v>
      </c>
    </row>
    <row r="60" spans="1:2" ht="18">
      <c r="A60" s="6" t="s">
        <v>1504</v>
      </c>
    </row>
    <row r="61" spans="1:2">
      <c r="A61" s="3" t="s">
        <v>1436</v>
      </c>
      <c r="B61" t="s">
        <v>1503</v>
      </c>
    </row>
    <row r="62" spans="1:2">
      <c r="A62" s="4" t="s">
        <v>17</v>
      </c>
      <c r="B62" s="8">
        <v>56.533623188405834</v>
      </c>
    </row>
    <row r="63" spans="1:2">
      <c r="A63" s="4" t="s">
        <v>723</v>
      </c>
      <c r="B63" s="8">
        <v>62.230845070422539</v>
      </c>
    </row>
    <row r="64" spans="1:2">
      <c r="A64" s="4" t="s">
        <v>1437</v>
      </c>
      <c r="B64" s="8">
        <v>59.422928571428564</v>
      </c>
    </row>
    <row r="67" spans="1:2" ht="18">
      <c r="A67" s="6" t="s">
        <v>1506</v>
      </c>
    </row>
    <row r="68" spans="1:2">
      <c r="A68" s="3" t="s">
        <v>1436</v>
      </c>
      <c r="B68" t="s">
        <v>1505</v>
      </c>
    </row>
    <row r="69" spans="1:2">
      <c r="A69" s="4" t="s">
        <v>17</v>
      </c>
      <c r="B69" s="8">
        <v>0.28260869565217389</v>
      </c>
    </row>
    <row r="70" spans="1:2">
      <c r="A70" s="4" t="s">
        <v>723</v>
      </c>
      <c r="B70" s="8">
        <v>0.45070422535211269</v>
      </c>
    </row>
    <row r="71" spans="1:2">
      <c r="A71" s="4" t="s">
        <v>1437</v>
      </c>
      <c r="B71" s="8">
        <v>0.36785714285714288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9644-FA5C-4F6D-997C-37DA26C8A478}">
  <dimension ref="A1:D38"/>
  <sheetViews>
    <sheetView topLeftCell="A12" workbookViewId="0">
      <selection activeCell="M27" sqref="M27"/>
    </sheetView>
  </sheetViews>
  <sheetFormatPr defaultRowHeight="14.4"/>
  <cols>
    <col min="1" max="1" width="21.88671875" bestFit="1" customWidth="1"/>
    <col min="2" max="2" width="15.5546875" bestFit="1" customWidth="1"/>
    <col min="3" max="3" width="9.77734375" bestFit="1" customWidth="1"/>
    <col min="4" max="4" width="10.77734375" bestFit="1" customWidth="1"/>
  </cols>
  <sheetData>
    <row r="1" spans="1:4" ht="18">
      <c r="A1" s="6" t="s">
        <v>1481</v>
      </c>
      <c r="B1" s="6" t="s">
        <v>1482</v>
      </c>
    </row>
    <row r="2" spans="1:4">
      <c r="A2" s="3" t="s">
        <v>1495</v>
      </c>
      <c r="B2" s="3" t="s">
        <v>1439</v>
      </c>
    </row>
    <row r="3" spans="1:4">
      <c r="A3" s="3" t="s">
        <v>1436</v>
      </c>
      <c r="B3" t="s">
        <v>17</v>
      </c>
      <c r="C3" t="s">
        <v>723</v>
      </c>
      <c r="D3" t="s">
        <v>1437</v>
      </c>
    </row>
    <row r="4" spans="1:4">
      <c r="A4" s="4" t="s">
        <v>28</v>
      </c>
      <c r="B4" s="5">
        <v>2.5316455696202531E-2</v>
      </c>
      <c r="C4" s="5">
        <v>6.3953488372093026E-2</v>
      </c>
      <c r="D4" s="5">
        <v>4.5454545454545456E-2</v>
      </c>
    </row>
    <row r="5" spans="1:4">
      <c r="A5" s="4" t="s">
        <v>18</v>
      </c>
      <c r="B5" s="5">
        <v>3.4482758620689655E-2</v>
      </c>
      <c r="C5" s="5">
        <v>8.8888888888888892E-2</v>
      </c>
      <c r="D5" s="5">
        <v>6.0052219321148827E-2</v>
      </c>
    </row>
    <row r="6" spans="1:4">
      <c r="A6" s="4" t="s">
        <v>32</v>
      </c>
      <c r="B6" s="5">
        <v>3.2608695652173912E-2</v>
      </c>
      <c r="C6" s="5">
        <v>7.6086956521739135E-2</v>
      </c>
      <c r="D6" s="5">
        <v>5.434782608695652E-2</v>
      </c>
    </row>
    <row r="7" spans="1:4">
      <c r="A7" s="4" t="s">
        <v>23</v>
      </c>
      <c r="B7" s="5">
        <v>3.3783783783783786E-2</v>
      </c>
      <c r="C7" s="5">
        <v>5.027932960893855E-2</v>
      </c>
      <c r="D7" s="5">
        <v>4.2813455657492352E-2</v>
      </c>
    </row>
    <row r="8" spans="1:4">
      <c r="A8" s="4" t="s">
        <v>1437</v>
      </c>
      <c r="B8" s="5">
        <v>3.1746031746031744E-2</v>
      </c>
      <c r="C8" s="5">
        <v>6.9930069930069935E-2</v>
      </c>
      <c r="D8" s="5">
        <v>5.113636363636364E-2</v>
      </c>
    </row>
    <row r="11" spans="1:4" ht="18">
      <c r="A11" s="7" t="s">
        <v>1483</v>
      </c>
      <c r="B11" s="6" t="s">
        <v>1484</v>
      </c>
    </row>
    <row r="12" spans="1:4">
      <c r="A12" s="3" t="s">
        <v>1491</v>
      </c>
      <c r="B12" s="3" t="s">
        <v>1439</v>
      </c>
    </row>
    <row r="13" spans="1:4">
      <c r="A13" s="3" t="s">
        <v>1436</v>
      </c>
      <c r="B13" t="s">
        <v>17</v>
      </c>
      <c r="C13" t="s">
        <v>723</v>
      </c>
      <c r="D13" t="s">
        <v>1437</v>
      </c>
    </row>
    <row r="14" spans="1:4">
      <c r="A14" s="4" t="s">
        <v>19</v>
      </c>
      <c r="B14" s="5">
        <v>0.25</v>
      </c>
      <c r="C14" s="5">
        <v>0.27102803738317754</v>
      </c>
      <c r="D14" s="5">
        <v>0.2608695652173913</v>
      </c>
    </row>
    <row r="15" spans="1:4">
      <c r="A15" s="4" t="s">
        <v>24</v>
      </c>
      <c r="B15" s="5">
        <v>0.24532710280373832</v>
      </c>
      <c r="C15" s="5">
        <v>0.30963302752293576</v>
      </c>
      <c r="D15" s="5">
        <v>0.27777777777777779</v>
      </c>
    </row>
    <row r="16" spans="1:4">
      <c r="A16" s="4" t="s">
        <v>34</v>
      </c>
      <c r="B16" s="5">
        <v>0.23214285714285715</v>
      </c>
      <c r="C16" s="5">
        <v>0.25</v>
      </c>
      <c r="D16" s="5">
        <v>0.24107142857142858</v>
      </c>
    </row>
    <row r="17" spans="1:4">
      <c r="A17" s="4" t="s">
        <v>1437</v>
      </c>
      <c r="B17" s="5">
        <v>0.24561403508771928</v>
      </c>
      <c r="C17" s="5">
        <v>0.29320113314447593</v>
      </c>
      <c r="D17" s="5">
        <v>0.26978417266187049</v>
      </c>
    </row>
    <row r="20" spans="1:4" ht="18">
      <c r="A20" s="7" t="s">
        <v>1485</v>
      </c>
      <c r="B20" s="6" t="s">
        <v>1486</v>
      </c>
    </row>
    <row r="21" spans="1:4">
      <c r="A21" s="3" t="s">
        <v>1501</v>
      </c>
      <c r="B21" s="3" t="s">
        <v>1439</v>
      </c>
    </row>
    <row r="22" spans="1:4">
      <c r="A22" s="3" t="s">
        <v>1436</v>
      </c>
      <c r="B22" t="s">
        <v>17</v>
      </c>
      <c r="C22" t="s">
        <v>723</v>
      </c>
      <c r="D22" t="s">
        <v>1437</v>
      </c>
    </row>
    <row r="23" spans="1:4">
      <c r="A23" s="4" t="s">
        <v>20</v>
      </c>
      <c r="B23" s="9">
        <v>28.720675675675675</v>
      </c>
      <c r="C23" s="9">
        <v>44.980892857142855</v>
      </c>
      <c r="D23" s="9">
        <v>35.725076923076927</v>
      </c>
    </row>
    <row r="24" spans="1:4">
      <c r="A24" s="4" t="s">
        <v>25</v>
      </c>
      <c r="B24" s="9">
        <v>42.512601626016256</v>
      </c>
      <c r="C24" s="9">
        <v>50.706390041493769</v>
      </c>
      <c r="D24" s="9">
        <v>46.56743326488705</v>
      </c>
    </row>
    <row r="25" spans="1:4">
      <c r="A25" s="4" t="s">
        <v>29</v>
      </c>
      <c r="B25" s="9">
        <v>10.837435897435897</v>
      </c>
      <c r="C25" s="9">
        <v>34.781590909090909</v>
      </c>
      <c r="D25" s="9">
        <v>23.530722891566267</v>
      </c>
    </row>
    <row r="26" spans="1:4">
      <c r="A26" s="4" t="s">
        <v>39</v>
      </c>
      <c r="B26" s="9">
        <v>33.310987654320989</v>
      </c>
      <c r="C26" s="9">
        <v>103.00417582417583</v>
      </c>
      <c r="D26" s="9">
        <v>70.18354651162791</v>
      </c>
    </row>
    <row r="27" spans="1:4">
      <c r="A27" s="4" t="s">
        <v>41</v>
      </c>
      <c r="B27" s="9">
        <v>136.08715384615383</v>
      </c>
      <c r="C27" s="9">
        <v>51.552105263157898</v>
      </c>
      <c r="D27" s="9">
        <v>93.337490494296574</v>
      </c>
    </row>
    <row r="28" spans="1:4">
      <c r="A28" s="4" t="s">
        <v>1437</v>
      </c>
      <c r="B28" s="9">
        <v>50.456462882096062</v>
      </c>
      <c r="C28" s="9">
        <v>53.214548063127694</v>
      </c>
      <c r="D28" s="9">
        <v>51.845469653179187</v>
      </c>
    </row>
    <row r="32" spans="1:4" ht="18">
      <c r="A32" s="7" t="s">
        <v>1487</v>
      </c>
      <c r="B32" s="6" t="s">
        <v>1488</v>
      </c>
    </row>
    <row r="33" spans="1:4">
      <c r="A33" s="3" t="s">
        <v>1501</v>
      </c>
      <c r="B33" s="3" t="s">
        <v>1439</v>
      </c>
    </row>
    <row r="34" spans="1:4">
      <c r="A34" s="3" t="s">
        <v>1436</v>
      </c>
      <c r="B34" t="s">
        <v>17</v>
      </c>
      <c r="C34" t="s">
        <v>723</v>
      </c>
      <c r="D34" t="s">
        <v>1437</v>
      </c>
    </row>
    <row r="35" spans="1:4">
      <c r="A35" s="4" t="s">
        <v>21</v>
      </c>
      <c r="B35" s="9">
        <v>97.800313901345277</v>
      </c>
      <c r="C35" s="9">
        <v>36.288595744680848</v>
      </c>
      <c r="D35" s="9">
        <v>66.238624454148479</v>
      </c>
    </row>
    <row r="36" spans="1:4">
      <c r="A36" s="4" t="s">
        <v>26</v>
      </c>
      <c r="B36" s="9">
        <v>22.665595567867033</v>
      </c>
      <c r="C36" s="9">
        <v>50.897309782608694</v>
      </c>
      <c r="D36" s="9">
        <v>36.916995884773655</v>
      </c>
    </row>
    <row r="37" spans="1:4">
      <c r="A37" s="4" t="s">
        <v>30</v>
      </c>
      <c r="B37" s="9">
        <v>53.85807339449542</v>
      </c>
      <c r="C37" s="9">
        <v>100.55964285714286</v>
      </c>
      <c r="D37" s="9">
        <v>77.525837104072394</v>
      </c>
    </row>
    <row r="38" spans="1:4">
      <c r="A38" s="4" t="s">
        <v>1437</v>
      </c>
      <c r="B38" s="9">
        <v>51.74932178932179</v>
      </c>
      <c r="C38" s="9">
        <v>53.875118881118873</v>
      </c>
      <c r="D38" s="9">
        <v>52.828828124999994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8120-69B0-492B-8951-F9B068A692E6}">
  <dimension ref="A1:F711"/>
  <sheetViews>
    <sheetView workbookViewId="0">
      <selection activeCell="P9" sqref="P9"/>
    </sheetView>
  </sheetViews>
  <sheetFormatPr defaultRowHeight="14.4"/>
  <cols>
    <col min="1" max="1" width="12.5546875" bestFit="1" customWidth="1"/>
    <col min="2" max="2" width="23.77734375" bestFit="1" customWidth="1"/>
  </cols>
  <sheetData>
    <row r="1" spans="1:6" ht="27.6">
      <c r="A1" s="3" t="s">
        <v>1436</v>
      </c>
      <c r="B1" t="s">
        <v>1508</v>
      </c>
      <c r="E1" s="1" t="s">
        <v>17</v>
      </c>
      <c r="F1" s="1" t="s">
        <v>723</v>
      </c>
    </row>
    <row r="2" spans="1:6">
      <c r="A2" s="4" t="s">
        <v>17</v>
      </c>
      <c r="B2" s="10">
        <v>22</v>
      </c>
      <c r="E2">
        <v>0</v>
      </c>
      <c r="F2">
        <v>0</v>
      </c>
    </row>
    <row r="3" spans="1:6">
      <c r="A3" s="4" t="s">
        <v>723</v>
      </c>
      <c r="B3" s="10">
        <v>50</v>
      </c>
      <c r="E3">
        <v>0</v>
      </c>
      <c r="F3">
        <v>0</v>
      </c>
    </row>
    <row r="4" spans="1:6">
      <c r="A4" s="4" t="s">
        <v>1437</v>
      </c>
      <c r="B4" s="10">
        <v>72</v>
      </c>
      <c r="E4">
        <v>0</v>
      </c>
      <c r="F4">
        <v>0</v>
      </c>
    </row>
    <row r="5" spans="1:6">
      <c r="E5">
        <v>0</v>
      </c>
      <c r="F5">
        <v>0</v>
      </c>
    </row>
    <row r="6" spans="1:6">
      <c r="E6">
        <v>0</v>
      </c>
      <c r="F6">
        <v>0</v>
      </c>
    </row>
    <row r="7" spans="1:6">
      <c r="E7">
        <v>0</v>
      </c>
      <c r="F7">
        <v>0</v>
      </c>
    </row>
    <row r="8" spans="1:6">
      <c r="E8">
        <v>0</v>
      </c>
      <c r="F8">
        <v>0</v>
      </c>
    </row>
    <row r="9" spans="1:6">
      <c r="E9">
        <v>0</v>
      </c>
      <c r="F9">
        <v>0</v>
      </c>
    </row>
    <row r="10" spans="1:6">
      <c r="E10">
        <v>0</v>
      </c>
      <c r="F10">
        <v>0</v>
      </c>
    </row>
    <row r="11" spans="1:6">
      <c r="E11">
        <v>0</v>
      </c>
      <c r="F11">
        <v>0</v>
      </c>
    </row>
    <row r="12" spans="1:6">
      <c r="E12">
        <v>0</v>
      </c>
      <c r="F12">
        <v>1</v>
      </c>
    </row>
    <row r="13" spans="1:6">
      <c r="E13">
        <v>0</v>
      </c>
      <c r="F13">
        <v>0</v>
      </c>
    </row>
    <row r="14" spans="1:6">
      <c r="E14">
        <v>0</v>
      </c>
      <c r="F14">
        <v>0</v>
      </c>
    </row>
    <row r="15" spans="1:6">
      <c r="E15">
        <v>0</v>
      </c>
      <c r="F15">
        <v>0</v>
      </c>
    </row>
    <row r="16" spans="1:6">
      <c r="E16">
        <v>0</v>
      </c>
      <c r="F16">
        <v>0</v>
      </c>
    </row>
    <row r="17" spans="5:6">
      <c r="E17">
        <v>0</v>
      </c>
      <c r="F17">
        <v>0</v>
      </c>
    </row>
    <row r="18" spans="5:6">
      <c r="E18">
        <v>0</v>
      </c>
      <c r="F18">
        <v>0</v>
      </c>
    </row>
    <row r="19" spans="5:6">
      <c r="E19">
        <v>0</v>
      </c>
      <c r="F19">
        <v>0</v>
      </c>
    </row>
    <row r="20" spans="5:6">
      <c r="E20">
        <v>0</v>
      </c>
      <c r="F20">
        <v>0</v>
      </c>
    </row>
    <row r="21" spans="5:6">
      <c r="E21">
        <v>0</v>
      </c>
      <c r="F21">
        <v>0</v>
      </c>
    </row>
    <row r="22" spans="5:6">
      <c r="E22">
        <v>0</v>
      </c>
      <c r="F22">
        <v>0</v>
      </c>
    </row>
    <row r="23" spans="5:6">
      <c r="E23">
        <v>0</v>
      </c>
      <c r="F23">
        <v>0</v>
      </c>
    </row>
    <row r="24" spans="5:6">
      <c r="E24">
        <v>0</v>
      </c>
      <c r="F24">
        <v>1</v>
      </c>
    </row>
    <row r="25" spans="5:6">
      <c r="E25">
        <v>0</v>
      </c>
      <c r="F25">
        <v>1</v>
      </c>
    </row>
    <row r="26" spans="5:6">
      <c r="E26">
        <v>0</v>
      </c>
      <c r="F26">
        <v>0</v>
      </c>
    </row>
    <row r="27" spans="5:6">
      <c r="E27">
        <v>0</v>
      </c>
      <c r="F27">
        <v>0</v>
      </c>
    </row>
    <row r="28" spans="5:6">
      <c r="E28">
        <v>0</v>
      </c>
      <c r="F28">
        <v>0</v>
      </c>
    </row>
    <row r="29" spans="5:6">
      <c r="E29">
        <v>0</v>
      </c>
      <c r="F29">
        <v>0</v>
      </c>
    </row>
    <row r="30" spans="5:6">
      <c r="E30">
        <v>0</v>
      </c>
      <c r="F30">
        <v>0</v>
      </c>
    </row>
    <row r="31" spans="5:6">
      <c r="E31">
        <v>0</v>
      </c>
      <c r="F31">
        <v>0</v>
      </c>
    </row>
    <row r="32" spans="5:6">
      <c r="E32">
        <v>0</v>
      </c>
      <c r="F32">
        <v>0</v>
      </c>
    </row>
    <row r="33" spans="5:6">
      <c r="E33">
        <v>0</v>
      </c>
      <c r="F33">
        <v>0</v>
      </c>
    </row>
    <row r="34" spans="5:6">
      <c r="E34">
        <v>0</v>
      </c>
      <c r="F34">
        <v>0</v>
      </c>
    </row>
    <row r="35" spans="5:6">
      <c r="E35">
        <v>0</v>
      </c>
      <c r="F35">
        <v>0</v>
      </c>
    </row>
    <row r="36" spans="5:6">
      <c r="E36">
        <v>0</v>
      </c>
      <c r="F36">
        <v>0</v>
      </c>
    </row>
    <row r="37" spans="5:6">
      <c r="E37">
        <v>0</v>
      </c>
      <c r="F37">
        <v>0</v>
      </c>
    </row>
    <row r="38" spans="5:6">
      <c r="E38">
        <v>0</v>
      </c>
      <c r="F38">
        <v>0</v>
      </c>
    </row>
    <row r="39" spans="5:6">
      <c r="E39">
        <v>0</v>
      </c>
      <c r="F39">
        <v>1</v>
      </c>
    </row>
    <row r="40" spans="5:6">
      <c r="E40">
        <v>0</v>
      </c>
      <c r="F40">
        <v>0</v>
      </c>
    </row>
    <row r="41" spans="5:6">
      <c r="E41">
        <v>0</v>
      </c>
      <c r="F41">
        <v>0</v>
      </c>
    </row>
    <row r="42" spans="5:6">
      <c r="E42">
        <v>0</v>
      </c>
      <c r="F42">
        <v>0</v>
      </c>
    </row>
    <row r="43" spans="5:6">
      <c r="E43">
        <v>0</v>
      </c>
      <c r="F43">
        <v>1</v>
      </c>
    </row>
    <row r="44" spans="5:6">
      <c r="E44">
        <v>0</v>
      </c>
      <c r="F44">
        <v>0</v>
      </c>
    </row>
    <row r="45" spans="5:6">
      <c r="E45">
        <v>0</v>
      </c>
      <c r="F45">
        <v>0</v>
      </c>
    </row>
    <row r="46" spans="5:6">
      <c r="E46">
        <v>0</v>
      </c>
      <c r="F46">
        <v>0</v>
      </c>
    </row>
    <row r="47" spans="5:6">
      <c r="E47">
        <v>0</v>
      </c>
      <c r="F47">
        <v>0</v>
      </c>
    </row>
    <row r="48" spans="5:6">
      <c r="E48">
        <v>0</v>
      </c>
      <c r="F48">
        <v>0</v>
      </c>
    </row>
    <row r="49" spans="5:6">
      <c r="E49">
        <v>0</v>
      </c>
      <c r="F49">
        <v>0</v>
      </c>
    </row>
    <row r="50" spans="5:6">
      <c r="E50">
        <v>0</v>
      </c>
      <c r="F50">
        <v>0</v>
      </c>
    </row>
    <row r="51" spans="5:6">
      <c r="E51">
        <v>0</v>
      </c>
      <c r="F51">
        <v>0</v>
      </c>
    </row>
    <row r="52" spans="5:6">
      <c r="E52">
        <v>0</v>
      </c>
      <c r="F52">
        <v>0</v>
      </c>
    </row>
    <row r="53" spans="5:6">
      <c r="E53">
        <v>0</v>
      </c>
      <c r="F53">
        <v>0</v>
      </c>
    </row>
    <row r="54" spans="5:6">
      <c r="E54">
        <v>0</v>
      </c>
      <c r="F54">
        <v>0</v>
      </c>
    </row>
    <row r="55" spans="5:6">
      <c r="E55">
        <v>0</v>
      </c>
      <c r="F55">
        <v>0</v>
      </c>
    </row>
    <row r="56" spans="5:6">
      <c r="E56">
        <v>0</v>
      </c>
      <c r="F56">
        <v>0</v>
      </c>
    </row>
    <row r="57" spans="5:6">
      <c r="E57">
        <v>0</v>
      </c>
      <c r="F57">
        <v>0</v>
      </c>
    </row>
    <row r="58" spans="5:6">
      <c r="E58">
        <v>0</v>
      </c>
      <c r="F58">
        <v>0</v>
      </c>
    </row>
    <row r="59" spans="5:6">
      <c r="E59">
        <v>0</v>
      </c>
      <c r="F59">
        <v>0</v>
      </c>
    </row>
    <row r="60" spans="5:6">
      <c r="E60">
        <v>0</v>
      </c>
      <c r="F60">
        <v>0</v>
      </c>
    </row>
    <row r="61" spans="5:6">
      <c r="E61">
        <v>1</v>
      </c>
      <c r="F61">
        <v>0</v>
      </c>
    </row>
    <row r="62" spans="5:6">
      <c r="E62">
        <v>0</v>
      </c>
      <c r="F62">
        <v>0</v>
      </c>
    </row>
    <row r="63" spans="5:6">
      <c r="E63">
        <v>0</v>
      </c>
      <c r="F63">
        <v>0</v>
      </c>
    </row>
    <row r="64" spans="5:6">
      <c r="E64">
        <v>0</v>
      </c>
      <c r="F64">
        <v>0</v>
      </c>
    </row>
    <row r="65" spans="5:6">
      <c r="E65">
        <v>0</v>
      </c>
      <c r="F65">
        <v>0</v>
      </c>
    </row>
    <row r="66" spans="5:6">
      <c r="E66">
        <v>0</v>
      </c>
      <c r="F66">
        <v>0</v>
      </c>
    </row>
    <row r="67" spans="5:6">
      <c r="E67">
        <v>0</v>
      </c>
      <c r="F67">
        <v>0</v>
      </c>
    </row>
    <row r="68" spans="5:6">
      <c r="E68">
        <v>0</v>
      </c>
      <c r="F68">
        <v>0</v>
      </c>
    </row>
    <row r="69" spans="5:6">
      <c r="E69">
        <v>0</v>
      </c>
      <c r="F69">
        <v>1</v>
      </c>
    </row>
    <row r="70" spans="5:6">
      <c r="E70">
        <v>0</v>
      </c>
      <c r="F70">
        <v>0</v>
      </c>
    </row>
    <row r="71" spans="5:6">
      <c r="E71">
        <v>0</v>
      </c>
      <c r="F71">
        <v>0</v>
      </c>
    </row>
    <row r="72" spans="5:6">
      <c r="E72">
        <v>0</v>
      </c>
      <c r="F72">
        <v>0</v>
      </c>
    </row>
    <row r="73" spans="5:6">
      <c r="E73">
        <v>0</v>
      </c>
      <c r="F73">
        <v>0</v>
      </c>
    </row>
    <row r="74" spans="5:6">
      <c r="E74">
        <v>0</v>
      </c>
      <c r="F74">
        <v>0</v>
      </c>
    </row>
    <row r="75" spans="5:6">
      <c r="E75">
        <v>0</v>
      </c>
      <c r="F75">
        <v>0</v>
      </c>
    </row>
    <row r="76" spans="5:6">
      <c r="E76">
        <v>0</v>
      </c>
      <c r="F76">
        <v>0</v>
      </c>
    </row>
    <row r="77" spans="5:6">
      <c r="E77">
        <v>0</v>
      </c>
      <c r="F77">
        <v>0</v>
      </c>
    </row>
    <row r="78" spans="5:6">
      <c r="E78">
        <v>0</v>
      </c>
      <c r="F78">
        <v>0</v>
      </c>
    </row>
    <row r="79" spans="5:6">
      <c r="E79">
        <v>0</v>
      </c>
      <c r="F79">
        <v>0</v>
      </c>
    </row>
    <row r="80" spans="5:6">
      <c r="E80">
        <v>1</v>
      </c>
      <c r="F80">
        <v>0</v>
      </c>
    </row>
    <row r="81" spans="5:6">
      <c r="E81">
        <v>0</v>
      </c>
      <c r="F81">
        <v>0</v>
      </c>
    </row>
    <row r="82" spans="5:6">
      <c r="E82">
        <v>0</v>
      </c>
      <c r="F82">
        <v>0</v>
      </c>
    </row>
    <row r="83" spans="5:6">
      <c r="E83">
        <v>0</v>
      </c>
      <c r="F83">
        <v>0</v>
      </c>
    </row>
    <row r="84" spans="5:6">
      <c r="E84">
        <v>0</v>
      </c>
      <c r="F84">
        <v>0</v>
      </c>
    </row>
    <row r="85" spans="5:6">
      <c r="E85">
        <v>0</v>
      </c>
      <c r="F85">
        <v>0</v>
      </c>
    </row>
    <row r="86" spans="5:6">
      <c r="E86">
        <v>0</v>
      </c>
      <c r="F86">
        <v>0</v>
      </c>
    </row>
    <row r="87" spans="5:6">
      <c r="E87">
        <v>0</v>
      </c>
      <c r="F87">
        <v>0</v>
      </c>
    </row>
    <row r="88" spans="5:6">
      <c r="E88">
        <v>0</v>
      </c>
      <c r="F88">
        <v>0</v>
      </c>
    </row>
    <row r="89" spans="5:6">
      <c r="E89">
        <v>0</v>
      </c>
      <c r="F89">
        <v>0</v>
      </c>
    </row>
    <row r="90" spans="5:6">
      <c r="E90">
        <v>0</v>
      </c>
      <c r="F90">
        <v>0</v>
      </c>
    </row>
    <row r="91" spans="5:6">
      <c r="E91">
        <v>0</v>
      </c>
      <c r="F91">
        <v>0</v>
      </c>
    </row>
    <row r="92" spans="5:6">
      <c r="E92">
        <v>0</v>
      </c>
      <c r="F92">
        <v>0</v>
      </c>
    </row>
    <row r="93" spans="5:6">
      <c r="E93">
        <v>0</v>
      </c>
      <c r="F93">
        <v>0</v>
      </c>
    </row>
    <row r="94" spans="5:6">
      <c r="E94">
        <v>0</v>
      </c>
      <c r="F94">
        <v>0</v>
      </c>
    </row>
    <row r="95" spans="5:6">
      <c r="E95">
        <v>0</v>
      </c>
      <c r="F95">
        <v>0</v>
      </c>
    </row>
    <row r="96" spans="5:6">
      <c r="E96">
        <v>0</v>
      </c>
      <c r="F96">
        <v>0</v>
      </c>
    </row>
    <row r="97" spans="5:6">
      <c r="E97">
        <v>0</v>
      </c>
      <c r="F97">
        <v>0</v>
      </c>
    </row>
    <row r="98" spans="5:6">
      <c r="E98">
        <v>0</v>
      </c>
      <c r="F98">
        <v>0</v>
      </c>
    </row>
    <row r="99" spans="5:6">
      <c r="E99">
        <v>0</v>
      </c>
      <c r="F99">
        <v>0</v>
      </c>
    </row>
    <row r="100" spans="5:6">
      <c r="E100">
        <v>1</v>
      </c>
      <c r="F100">
        <v>0</v>
      </c>
    </row>
    <row r="101" spans="5:6">
      <c r="E101">
        <v>0</v>
      </c>
      <c r="F101">
        <v>0</v>
      </c>
    </row>
    <row r="102" spans="5:6">
      <c r="E102">
        <v>0</v>
      </c>
      <c r="F102">
        <v>0</v>
      </c>
    </row>
    <row r="103" spans="5:6">
      <c r="E103">
        <v>0</v>
      </c>
      <c r="F103">
        <v>0</v>
      </c>
    </row>
    <row r="104" spans="5:6">
      <c r="E104">
        <v>1</v>
      </c>
      <c r="F104">
        <v>0</v>
      </c>
    </row>
    <row r="105" spans="5:6">
      <c r="E105">
        <v>0</v>
      </c>
      <c r="F105">
        <v>0</v>
      </c>
    </row>
    <row r="106" spans="5:6">
      <c r="E106">
        <v>0</v>
      </c>
      <c r="F106">
        <v>0</v>
      </c>
    </row>
    <row r="107" spans="5:6">
      <c r="E107">
        <v>1</v>
      </c>
      <c r="F107">
        <v>0</v>
      </c>
    </row>
    <row r="108" spans="5:6">
      <c r="E108">
        <v>0</v>
      </c>
      <c r="F108">
        <v>0</v>
      </c>
    </row>
    <row r="109" spans="5:6">
      <c r="E109">
        <v>0</v>
      </c>
      <c r="F109">
        <v>0</v>
      </c>
    </row>
    <row r="110" spans="5:6">
      <c r="E110">
        <v>0</v>
      </c>
      <c r="F110">
        <v>0</v>
      </c>
    </row>
    <row r="111" spans="5:6">
      <c r="E111">
        <v>0</v>
      </c>
      <c r="F111">
        <v>0</v>
      </c>
    </row>
    <row r="112" spans="5:6">
      <c r="E112">
        <v>0</v>
      </c>
      <c r="F112">
        <v>0</v>
      </c>
    </row>
    <row r="113" spans="5:6">
      <c r="E113">
        <v>0</v>
      </c>
      <c r="F113">
        <v>0</v>
      </c>
    </row>
    <row r="114" spans="5:6">
      <c r="E114">
        <v>0</v>
      </c>
      <c r="F114">
        <v>0</v>
      </c>
    </row>
    <row r="115" spans="5:6">
      <c r="E115">
        <v>0</v>
      </c>
      <c r="F115">
        <v>0</v>
      </c>
    </row>
    <row r="116" spans="5:6">
      <c r="E116">
        <v>0</v>
      </c>
      <c r="F116">
        <v>1</v>
      </c>
    </row>
    <row r="117" spans="5:6">
      <c r="E117">
        <v>0</v>
      </c>
      <c r="F117">
        <v>0</v>
      </c>
    </row>
    <row r="118" spans="5:6">
      <c r="E118">
        <v>0</v>
      </c>
      <c r="F118">
        <v>0</v>
      </c>
    </row>
    <row r="119" spans="5:6">
      <c r="E119">
        <v>0</v>
      </c>
      <c r="F119">
        <v>0</v>
      </c>
    </row>
    <row r="120" spans="5:6">
      <c r="E120">
        <v>0</v>
      </c>
      <c r="F120">
        <v>0</v>
      </c>
    </row>
    <row r="121" spans="5:6">
      <c r="E121">
        <v>0</v>
      </c>
      <c r="F121">
        <v>0</v>
      </c>
    </row>
    <row r="122" spans="5:6">
      <c r="E122">
        <v>0</v>
      </c>
      <c r="F122">
        <v>0</v>
      </c>
    </row>
    <row r="123" spans="5:6">
      <c r="E123">
        <v>0</v>
      </c>
      <c r="F123">
        <v>0</v>
      </c>
    </row>
    <row r="124" spans="5:6">
      <c r="E124">
        <v>0</v>
      </c>
      <c r="F124">
        <v>0</v>
      </c>
    </row>
    <row r="125" spans="5:6">
      <c r="E125">
        <v>0</v>
      </c>
      <c r="F125">
        <v>1</v>
      </c>
    </row>
    <row r="126" spans="5:6">
      <c r="E126">
        <v>0</v>
      </c>
      <c r="F126">
        <v>0</v>
      </c>
    </row>
    <row r="127" spans="5:6">
      <c r="E127">
        <v>0</v>
      </c>
      <c r="F127">
        <v>0</v>
      </c>
    </row>
    <row r="128" spans="5:6">
      <c r="E128">
        <v>0</v>
      </c>
      <c r="F128">
        <v>0</v>
      </c>
    </row>
    <row r="129" spans="5:6">
      <c r="E129">
        <v>0</v>
      </c>
      <c r="F129">
        <v>0</v>
      </c>
    </row>
    <row r="130" spans="5:6">
      <c r="E130">
        <v>0</v>
      </c>
      <c r="F130">
        <v>1</v>
      </c>
    </row>
    <row r="131" spans="5:6">
      <c r="E131">
        <v>0</v>
      </c>
      <c r="F131">
        <v>0</v>
      </c>
    </row>
    <row r="132" spans="5:6">
      <c r="E132">
        <v>0</v>
      </c>
      <c r="F132">
        <v>0</v>
      </c>
    </row>
    <row r="133" spans="5:6">
      <c r="E133">
        <v>0</v>
      </c>
      <c r="F133">
        <v>0</v>
      </c>
    </row>
    <row r="134" spans="5:6">
      <c r="E134">
        <v>0</v>
      </c>
      <c r="F134">
        <v>0</v>
      </c>
    </row>
    <row r="135" spans="5:6">
      <c r="E135">
        <v>0</v>
      </c>
      <c r="F135">
        <v>0</v>
      </c>
    </row>
    <row r="136" spans="5:6">
      <c r="E136">
        <v>0</v>
      </c>
      <c r="F136">
        <v>1</v>
      </c>
    </row>
    <row r="137" spans="5:6">
      <c r="E137">
        <v>0</v>
      </c>
      <c r="F137">
        <v>0</v>
      </c>
    </row>
    <row r="138" spans="5:6">
      <c r="E138">
        <v>0</v>
      </c>
      <c r="F138">
        <v>0</v>
      </c>
    </row>
    <row r="139" spans="5:6">
      <c r="E139">
        <v>0</v>
      </c>
      <c r="F139">
        <v>0</v>
      </c>
    </row>
    <row r="140" spans="5:6">
      <c r="E140">
        <v>0</v>
      </c>
      <c r="F140">
        <v>0</v>
      </c>
    </row>
    <row r="141" spans="5:6">
      <c r="E141">
        <v>0</v>
      </c>
      <c r="F141">
        <v>1</v>
      </c>
    </row>
    <row r="142" spans="5:6">
      <c r="E142">
        <v>0</v>
      </c>
      <c r="F142">
        <v>0</v>
      </c>
    </row>
    <row r="143" spans="5:6">
      <c r="E143">
        <v>1</v>
      </c>
      <c r="F143">
        <v>0</v>
      </c>
    </row>
    <row r="144" spans="5:6">
      <c r="E144">
        <v>0</v>
      </c>
      <c r="F144">
        <v>1</v>
      </c>
    </row>
    <row r="145" spans="5:6">
      <c r="E145">
        <v>0</v>
      </c>
      <c r="F145">
        <v>0</v>
      </c>
    </row>
    <row r="146" spans="5:6">
      <c r="E146">
        <v>0</v>
      </c>
      <c r="F146">
        <v>0</v>
      </c>
    </row>
    <row r="147" spans="5:6">
      <c r="E147">
        <v>0</v>
      </c>
      <c r="F147">
        <v>1</v>
      </c>
    </row>
    <row r="148" spans="5:6">
      <c r="E148">
        <v>0</v>
      </c>
      <c r="F148">
        <v>1</v>
      </c>
    </row>
    <row r="149" spans="5:6">
      <c r="E149">
        <v>0</v>
      </c>
      <c r="F149">
        <v>0</v>
      </c>
    </row>
    <row r="150" spans="5:6">
      <c r="E150">
        <v>1</v>
      </c>
      <c r="F150">
        <v>0</v>
      </c>
    </row>
    <row r="151" spans="5:6">
      <c r="E151">
        <v>0</v>
      </c>
      <c r="F151">
        <v>0</v>
      </c>
    </row>
    <row r="152" spans="5:6">
      <c r="E152">
        <v>0</v>
      </c>
      <c r="F152">
        <v>0</v>
      </c>
    </row>
    <row r="153" spans="5:6">
      <c r="E153">
        <v>0</v>
      </c>
      <c r="F153">
        <v>0</v>
      </c>
    </row>
    <row r="154" spans="5:6">
      <c r="E154">
        <v>0</v>
      </c>
      <c r="F154">
        <v>0</v>
      </c>
    </row>
    <row r="155" spans="5:6">
      <c r="E155">
        <v>0</v>
      </c>
      <c r="F155">
        <v>0</v>
      </c>
    </row>
    <row r="156" spans="5:6">
      <c r="E156">
        <v>0</v>
      </c>
      <c r="F156">
        <v>0</v>
      </c>
    </row>
    <row r="157" spans="5:6">
      <c r="E157">
        <v>0</v>
      </c>
      <c r="F157">
        <v>0</v>
      </c>
    </row>
    <row r="158" spans="5:6">
      <c r="E158">
        <v>0</v>
      </c>
      <c r="F158">
        <v>0</v>
      </c>
    </row>
    <row r="159" spans="5:6">
      <c r="E159">
        <v>0</v>
      </c>
      <c r="F159">
        <v>0</v>
      </c>
    </row>
    <row r="160" spans="5:6">
      <c r="E160">
        <v>0</v>
      </c>
      <c r="F160">
        <v>0</v>
      </c>
    </row>
    <row r="161" spans="5:6">
      <c r="E161">
        <v>0</v>
      </c>
      <c r="F161">
        <v>0</v>
      </c>
    </row>
    <row r="162" spans="5:6">
      <c r="E162">
        <v>0</v>
      </c>
      <c r="F162">
        <v>0</v>
      </c>
    </row>
    <row r="163" spans="5:6">
      <c r="E163">
        <v>0</v>
      </c>
      <c r="F163">
        <v>0</v>
      </c>
    </row>
    <row r="164" spans="5:6">
      <c r="E164">
        <v>0</v>
      </c>
      <c r="F164">
        <v>0</v>
      </c>
    </row>
    <row r="165" spans="5:6">
      <c r="E165">
        <v>0</v>
      </c>
      <c r="F165">
        <v>0</v>
      </c>
    </row>
    <row r="166" spans="5:6">
      <c r="E166">
        <v>0</v>
      </c>
      <c r="F166">
        <v>1</v>
      </c>
    </row>
    <row r="167" spans="5:6">
      <c r="E167">
        <v>1</v>
      </c>
      <c r="F167">
        <v>0</v>
      </c>
    </row>
    <row r="168" spans="5:6">
      <c r="E168">
        <v>0</v>
      </c>
      <c r="F168">
        <v>0</v>
      </c>
    </row>
    <row r="169" spans="5:6">
      <c r="E169">
        <v>0</v>
      </c>
      <c r="F169">
        <v>0</v>
      </c>
    </row>
    <row r="170" spans="5:6">
      <c r="E170">
        <v>0</v>
      </c>
      <c r="F170">
        <v>1</v>
      </c>
    </row>
    <row r="171" spans="5:6">
      <c r="E171">
        <v>0</v>
      </c>
      <c r="F171">
        <v>0</v>
      </c>
    </row>
    <row r="172" spans="5:6">
      <c r="E172">
        <v>0</v>
      </c>
      <c r="F172">
        <v>0</v>
      </c>
    </row>
    <row r="173" spans="5:6">
      <c r="E173">
        <v>0</v>
      </c>
      <c r="F173">
        <v>0</v>
      </c>
    </row>
    <row r="174" spans="5:6">
      <c r="E174">
        <v>0</v>
      </c>
      <c r="F174">
        <v>0</v>
      </c>
    </row>
    <row r="175" spans="5:6">
      <c r="E175">
        <v>0</v>
      </c>
      <c r="F175">
        <v>0</v>
      </c>
    </row>
    <row r="176" spans="5:6">
      <c r="E176">
        <v>0</v>
      </c>
      <c r="F176">
        <v>0</v>
      </c>
    </row>
    <row r="177" spans="5:6">
      <c r="E177">
        <v>0</v>
      </c>
      <c r="F177">
        <v>0</v>
      </c>
    </row>
    <row r="178" spans="5:6">
      <c r="E178">
        <v>0</v>
      </c>
      <c r="F178">
        <v>0</v>
      </c>
    </row>
    <row r="179" spans="5:6">
      <c r="E179">
        <v>0</v>
      </c>
      <c r="F179">
        <v>0</v>
      </c>
    </row>
    <row r="180" spans="5:6">
      <c r="E180">
        <v>0</v>
      </c>
      <c r="F180">
        <v>0</v>
      </c>
    </row>
    <row r="181" spans="5:6">
      <c r="E181">
        <v>0</v>
      </c>
      <c r="F181">
        <v>0</v>
      </c>
    </row>
    <row r="182" spans="5:6">
      <c r="E182">
        <v>0</v>
      </c>
      <c r="F182">
        <v>0</v>
      </c>
    </row>
    <row r="183" spans="5:6">
      <c r="E183">
        <v>0</v>
      </c>
      <c r="F183">
        <v>0</v>
      </c>
    </row>
    <row r="184" spans="5:6">
      <c r="E184">
        <v>0</v>
      </c>
      <c r="F184">
        <v>0</v>
      </c>
    </row>
    <row r="185" spans="5:6">
      <c r="E185">
        <v>0</v>
      </c>
      <c r="F185">
        <v>0</v>
      </c>
    </row>
    <row r="186" spans="5:6">
      <c r="E186">
        <v>0</v>
      </c>
      <c r="F186">
        <v>0</v>
      </c>
    </row>
    <row r="187" spans="5:6">
      <c r="E187">
        <v>0</v>
      </c>
      <c r="F187">
        <v>0</v>
      </c>
    </row>
    <row r="188" spans="5:6">
      <c r="E188">
        <v>0</v>
      </c>
      <c r="F188">
        <v>0</v>
      </c>
    </row>
    <row r="189" spans="5:6">
      <c r="E189">
        <v>0</v>
      </c>
      <c r="F189">
        <v>0</v>
      </c>
    </row>
    <row r="190" spans="5:6">
      <c r="E190">
        <v>0</v>
      </c>
      <c r="F190">
        <v>0</v>
      </c>
    </row>
    <row r="191" spans="5:6">
      <c r="E191">
        <v>0</v>
      </c>
      <c r="F191">
        <v>0</v>
      </c>
    </row>
    <row r="192" spans="5:6">
      <c r="E192">
        <v>0</v>
      </c>
      <c r="F192">
        <v>0</v>
      </c>
    </row>
    <row r="193" spans="5:6">
      <c r="E193">
        <v>0</v>
      </c>
      <c r="F193">
        <v>0</v>
      </c>
    </row>
    <row r="194" spans="5:6">
      <c r="E194">
        <v>0</v>
      </c>
      <c r="F194">
        <v>0</v>
      </c>
    </row>
    <row r="195" spans="5:6">
      <c r="E195">
        <v>0</v>
      </c>
      <c r="F195">
        <v>0</v>
      </c>
    </row>
    <row r="196" spans="5:6">
      <c r="E196">
        <v>0</v>
      </c>
      <c r="F196">
        <v>0</v>
      </c>
    </row>
    <row r="197" spans="5:6">
      <c r="E197">
        <v>0</v>
      </c>
      <c r="F197">
        <v>0</v>
      </c>
    </row>
    <row r="198" spans="5:6">
      <c r="E198">
        <v>1</v>
      </c>
      <c r="F198">
        <v>0</v>
      </c>
    </row>
    <row r="199" spans="5:6">
      <c r="E199">
        <v>0</v>
      </c>
      <c r="F199">
        <v>0</v>
      </c>
    </row>
    <row r="200" spans="5:6">
      <c r="E200">
        <v>0</v>
      </c>
      <c r="F200">
        <v>1</v>
      </c>
    </row>
    <row r="201" spans="5:6">
      <c r="E201">
        <v>0</v>
      </c>
      <c r="F201">
        <v>0</v>
      </c>
    </row>
    <row r="202" spans="5:6">
      <c r="E202">
        <v>0</v>
      </c>
      <c r="F202">
        <v>0</v>
      </c>
    </row>
    <row r="203" spans="5:6">
      <c r="E203">
        <v>0</v>
      </c>
      <c r="F203">
        <v>0</v>
      </c>
    </row>
    <row r="204" spans="5:6">
      <c r="E204">
        <v>0</v>
      </c>
      <c r="F204">
        <v>0</v>
      </c>
    </row>
    <row r="205" spans="5:6">
      <c r="E205">
        <v>0</v>
      </c>
      <c r="F205">
        <v>0</v>
      </c>
    </row>
    <row r="206" spans="5:6">
      <c r="E206">
        <v>0</v>
      </c>
      <c r="F206">
        <v>0</v>
      </c>
    </row>
    <row r="207" spans="5:6">
      <c r="E207">
        <v>0</v>
      </c>
      <c r="F207">
        <v>0</v>
      </c>
    </row>
    <row r="208" spans="5:6">
      <c r="E208">
        <v>0</v>
      </c>
      <c r="F208">
        <v>0</v>
      </c>
    </row>
    <row r="209" spans="5:6">
      <c r="E209">
        <v>0</v>
      </c>
      <c r="F209">
        <v>0</v>
      </c>
    </row>
    <row r="210" spans="5:6">
      <c r="E210">
        <v>0</v>
      </c>
      <c r="F210">
        <v>0</v>
      </c>
    </row>
    <row r="211" spans="5:6">
      <c r="E211">
        <v>0</v>
      </c>
      <c r="F211">
        <v>0</v>
      </c>
    </row>
    <row r="212" spans="5:6">
      <c r="E212">
        <v>1</v>
      </c>
      <c r="F212">
        <v>0</v>
      </c>
    </row>
    <row r="213" spans="5:6">
      <c r="E213">
        <v>0</v>
      </c>
      <c r="F213">
        <v>0</v>
      </c>
    </row>
    <row r="214" spans="5:6">
      <c r="E214">
        <v>0</v>
      </c>
      <c r="F214">
        <v>0</v>
      </c>
    </row>
    <row r="215" spans="5:6">
      <c r="E215">
        <v>0</v>
      </c>
      <c r="F215">
        <v>0</v>
      </c>
    </row>
    <row r="216" spans="5:6">
      <c r="E216">
        <v>0</v>
      </c>
      <c r="F216">
        <v>1</v>
      </c>
    </row>
    <row r="217" spans="5:6">
      <c r="E217">
        <v>0</v>
      </c>
      <c r="F217">
        <v>0</v>
      </c>
    </row>
    <row r="218" spans="5:6">
      <c r="E218">
        <v>0</v>
      </c>
      <c r="F218">
        <v>0</v>
      </c>
    </row>
    <row r="219" spans="5:6">
      <c r="E219">
        <v>0</v>
      </c>
      <c r="F219">
        <v>0</v>
      </c>
    </row>
    <row r="220" spans="5:6">
      <c r="E220">
        <v>0</v>
      </c>
      <c r="F220">
        <v>0</v>
      </c>
    </row>
    <row r="221" spans="5:6">
      <c r="E221">
        <v>0</v>
      </c>
      <c r="F221">
        <v>0</v>
      </c>
    </row>
    <row r="222" spans="5:6">
      <c r="E222">
        <v>0</v>
      </c>
      <c r="F222">
        <v>0</v>
      </c>
    </row>
    <row r="223" spans="5:6">
      <c r="E223">
        <v>0</v>
      </c>
      <c r="F223">
        <v>0</v>
      </c>
    </row>
    <row r="224" spans="5:6">
      <c r="E224">
        <v>0</v>
      </c>
      <c r="F224">
        <v>0</v>
      </c>
    </row>
    <row r="225" spans="5:6">
      <c r="E225">
        <v>0</v>
      </c>
      <c r="F225">
        <v>0</v>
      </c>
    </row>
    <row r="226" spans="5:6">
      <c r="E226">
        <v>0</v>
      </c>
      <c r="F226">
        <v>0</v>
      </c>
    </row>
    <row r="227" spans="5:6">
      <c r="E227">
        <v>0</v>
      </c>
      <c r="F227">
        <v>0</v>
      </c>
    </row>
    <row r="228" spans="5:6">
      <c r="E228">
        <v>0</v>
      </c>
      <c r="F228">
        <v>0</v>
      </c>
    </row>
    <row r="229" spans="5:6">
      <c r="E229">
        <v>0</v>
      </c>
      <c r="F229">
        <v>0</v>
      </c>
    </row>
    <row r="230" spans="5:6">
      <c r="E230">
        <v>0</v>
      </c>
      <c r="F230">
        <v>0</v>
      </c>
    </row>
    <row r="231" spans="5:6">
      <c r="E231">
        <v>0</v>
      </c>
      <c r="F231">
        <v>0</v>
      </c>
    </row>
    <row r="232" spans="5:6">
      <c r="E232">
        <v>0</v>
      </c>
      <c r="F232">
        <v>1</v>
      </c>
    </row>
    <row r="233" spans="5:6">
      <c r="E233">
        <v>0</v>
      </c>
      <c r="F233">
        <v>0</v>
      </c>
    </row>
    <row r="234" spans="5:6">
      <c r="E234">
        <v>0</v>
      </c>
      <c r="F234">
        <v>0</v>
      </c>
    </row>
    <row r="235" spans="5:6">
      <c r="E235">
        <v>0</v>
      </c>
      <c r="F235">
        <v>0</v>
      </c>
    </row>
    <row r="236" spans="5:6">
      <c r="E236">
        <v>0</v>
      </c>
      <c r="F236">
        <v>0</v>
      </c>
    </row>
    <row r="237" spans="5:6">
      <c r="E237">
        <v>0</v>
      </c>
      <c r="F237">
        <v>0</v>
      </c>
    </row>
    <row r="238" spans="5:6">
      <c r="E238">
        <v>0</v>
      </c>
      <c r="F238">
        <v>0</v>
      </c>
    </row>
    <row r="239" spans="5:6">
      <c r="E239">
        <v>0</v>
      </c>
      <c r="F239">
        <v>0</v>
      </c>
    </row>
    <row r="240" spans="5:6">
      <c r="E240">
        <v>0</v>
      </c>
      <c r="F240">
        <v>0</v>
      </c>
    </row>
    <row r="241" spans="5:6">
      <c r="E241">
        <v>0</v>
      </c>
      <c r="F241">
        <v>0</v>
      </c>
    </row>
    <row r="242" spans="5:6">
      <c r="E242">
        <v>0</v>
      </c>
      <c r="F242">
        <v>1</v>
      </c>
    </row>
    <row r="243" spans="5:6">
      <c r="E243">
        <v>0</v>
      </c>
      <c r="F243">
        <v>0</v>
      </c>
    </row>
    <row r="244" spans="5:6">
      <c r="E244">
        <v>0</v>
      </c>
      <c r="F244">
        <v>0</v>
      </c>
    </row>
    <row r="245" spans="5:6">
      <c r="E245">
        <v>0</v>
      </c>
      <c r="F245">
        <v>0</v>
      </c>
    </row>
    <row r="246" spans="5:6">
      <c r="E246">
        <v>0</v>
      </c>
      <c r="F246">
        <v>0</v>
      </c>
    </row>
    <row r="247" spans="5:6">
      <c r="E247">
        <v>0</v>
      </c>
      <c r="F247">
        <v>0</v>
      </c>
    </row>
    <row r="248" spans="5:6">
      <c r="E248">
        <v>0</v>
      </c>
      <c r="F248">
        <v>0</v>
      </c>
    </row>
    <row r="249" spans="5:6">
      <c r="E249">
        <v>0</v>
      </c>
      <c r="F249">
        <v>0</v>
      </c>
    </row>
    <row r="250" spans="5:6">
      <c r="E250">
        <v>0</v>
      </c>
      <c r="F250">
        <v>0</v>
      </c>
    </row>
    <row r="251" spans="5:6">
      <c r="E251">
        <v>0</v>
      </c>
      <c r="F251">
        <v>0</v>
      </c>
    </row>
    <row r="252" spans="5:6">
      <c r="E252">
        <v>1</v>
      </c>
      <c r="F252">
        <v>0</v>
      </c>
    </row>
    <row r="253" spans="5:6">
      <c r="E253">
        <v>0</v>
      </c>
      <c r="F253">
        <v>0</v>
      </c>
    </row>
    <row r="254" spans="5:6">
      <c r="E254">
        <v>0</v>
      </c>
      <c r="F254">
        <v>1</v>
      </c>
    </row>
    <row r="255" spans="5:6">
      <c r="E255">
        <v>0</v>
      </c>
      <c r="F255">
        <v>0</v>
      </c>
    </row>
    <row r="256" spans="5:6">
      <c r="E256">
        <v>0</v>
      </c>
      <c r="F256">
        <v>0</v>
      </c>
    </row>
    <row r="257" spans="5:6">
      <c r="E257">
        <v>0</v>
      </c>
      <c r="F257">
        <v>0</v>
      </c>
    </row>
    <row r="258" spans="5:6">
      <c r="E258">
        <v>0</v>
      </c>
      <c r="F258">
        <v>0</v>
      </c>
    </row>
    <row r="259" spans="5:6">
      <c r="E259">
        <v>0</v>
      </c>
      <c r="F259">
        <v>1</v>
      </c>
    </row>
    <row r="260" spans="5:6">
      <c r="E260">
        <v>0</v>
      </c>
      <c r="F260">
        <v>0</v>
      </c>
    </row>
    <row r="261" spans="5:6">
      <c r="E261">
        <v>0</v>
      </c>
      <c r="F261">
        <v>0</v>
      </c>
    </row>
    <row r="262" spans="5:6">
      <c r="E262">
        <v>0</v>
      </c>
      <c r="F262">
        <v>0</v>
      </c>
    </row>
    <row r="263" spans="5:6">
      <c r="E263">
        <v>0</v>
      </c>
      <c r="F263">
        <v>0</v>
      </c>
    </row>
    <row r="264" spans="5:6">
      <c r="E264">
        <v>0</v>
      </c>
      <c r="F264">
        <v>0</v>
      </c>
    </row>
    <row r="265" spans="5:6">
      <c r="E265">
        <v>0</v>
      </c>
      <c r="F265">
        <v>0</v>
      </c>
    </row>
    <row r="266" spans="5:6">
      <c r="E266">
        <v>0</v>
      </c>
      <c r="F266">
        <v>0</v>
      </c>
    </row>
    <row r="267" spans="5:6">
      <c r="E267">
        <v>0</v>
      </c>
      <c r="F267">
        <v>0</v>
      </c>
    </row>
    <row r="268" spans="5:6">
      <c r="E268">
        <v>0</v>
      </c>
      <c r="F268">
        <v>0</v>
      </c>
    </row>
    <row r="269" spans="5:6">
      <c r="E269">
        <v>0</v>
      </c>
      <c r="F269">
        <v>0</v>
      </c>
    </row>
    <row r="270" spans="5:6">
      <c r="E270">
        <v>0</v>
      </c>
      <c r="F270">
        <v>0</v>
      </c>
    </row>
    <row r="271" spans="5:6">
      <c r="E271">
        <v>0</v>
      </c>
      <c r="F271">
        <v>0</v>
      </c>
    </row>
    <row r="272" spans="5:6">
      <c r="E272">
        <v>0</v>
      </c>
      <c r="F272">
        <v>0</v>
      </c>
    </row>
    <row r="273" spans="5:6">
      <c r="E273">
        <v>0</v>
      </c>
      <c r="F273">
        <v>0</v>
      </c>
    </row>
    <row r="274" spans="5:6">
      <c r="E274">
        <v>0</v>
      </c>
      <c r="F274">
        <v>0</v>
      </c>
    </row>
    <row r="275" spans="5:6">
      <c r="E275">
        <v>0</v>
      </c>
      <c r="F275">
        <v>0</v>
      </c>
    </row>
    <row r="276" spans="5:6">
      <c r="E276">
        <v>0</v>
      </c>
      <c r="F276">
        <v>0</v>
      </c>
    </row>
    <row r="277" spans="5:6">
      <c r="E277">
        <v>0</v>
      </c>
      <c r="F277">
        <v>0</v>
      </c>
    </row>
    <row r="278" spans="5:6">
      <c r="E278">
        <v>0</v>
      </c>
      <c r="F278">
        <v>0</v>
      </c>
    </row>
    <row r="279" spans="5:6">
      <c r="E279">
        <v>0</v>
      </c>
      <c r="F279">
        <v>0</v>
      </c>
    </row>
    <row r="280" spans="5:6">
      <c r="E280">
        <v>0</v>
      </c>
      <c r="F280">
        <v>0</v>
      </c>
    </row>
    <row r="281" spans="5:6">
      <c r="E281">
        <v>0</v>
      </c>
      <c r="F281">
        <v>0</v>
      </c>
    </row>
    <row r="282" spans="5:6">
      <c r="E282">
        <v>0</v>
      </c>
      <c r="F282">
        <v>0</v>
      </c>
    </row>
    <row r="283" spans="5:6">
      <c r="E283">
        <v>0</v>
      </c>
      <c r="F283">
        <v>0</v>
      </c>
    </row>
    <row r="284" spans="5:6">
      <c r="E284">
        <v>0</v>
      </c>
      <c r="F284">
        <v>0</v>
      </c>
    </row>
    <row r="285" spans="5:6">
      <c r="E285">
        <v>0</v>
      </c>
      <c r="F285">
        <v>0</v>
      </c>
    </row>
    <row r="286" spans="5:6">
      <c r="E286">
        <v>0</v>
      </c>
      <c r="F286">
        <v>0</v>
      </c>
    </row>
    <row r="287" spans="5:6">
      <c r="E287">
        <v>0</v>
      </c>
      <c r="F287">
        <v>0</v>
      </c>
    </row>
    <row r="288" spans="5:6">
      <c r="E288">
        <v>0</v>
      </c>
      <c r="F288">
        <v>0</v>
      </c>
    </row>
    <row r="289" spans="5:6">
      <c r="E289">
        <v>0</v>
      </c>
      <c r="F289">
        <v>0</v>
      </c>
    </row>
    <row r="290" spans="5:6">
      <c r="E290">
        <v>0</v>
      </c>
      <c r="F290">
        <v>0</v>
      </c>
    </row>
    <row r="291" spans="5:6">
      <c r="E291">
        <v>0</v>
      </c>
      <c r="F291">
        <v>0</v>
      </c>
    </row>
    <row r="292" spans="5:6">
      <c r="E292">
        <v>0</v>
      </c>
      <c r="F292">
        <v>0</v>
      </c>
    </row>
    <row r="293" spans="5:6">
      <c r="E293">
        <v>0</v>
      </c>
      <c r="F293">
        <v>0</v>
      </c>
    </row>
    <row r="294" spans="5:6">
      <c r="E294">
        <v>0</v>
      </c>
      <c r="F294">
        <v>0</v>
      </c>
    </row>
    <row r="295" spans="5:6">
      <c r="E295">
        <v>0</v>
      </c>
      <c r="F295">
        <v>0</v>
      </c>
    </row>
    <row r="296" spans="5:6">
      <c r="E296">
        <v>0</v>
      </c>
      <c r="F296">
        <v>0</v>
      </c>
    </row>
    <row r="297" spans="5:6">
      <c r="E297">
        <v>0</v>
      </c>
      <c r="F297">
        <v>0</v>
      </c>
    </row>
    <row r="298" spans="5:6">
      <c r="E298">
        <v>0</v>
      </c>
      <c r="F298">
        <v>0</v>
      </c>
    </row>
    <row r="299" spans="5:6">
      <c r="E299">
        <v>0</v>
      </c>
      <c r="F299">
        <v>0</v>
      </c>
    </row>
    <row r="300" spans="5:6">
      <c r="E300">
        <v>0</v>
      </c>
      <c r="F300">
        <v>0</v>
      </c>
    </row>
    <row r="301" spans="5:6">
      <c r="E301">
        <v>1</v>
      </c>
      <c r="F301">
        <v>0</v>
      </c>
    </row>
    <row r="302" spans="5:6">
      <c r="E302">
        <v>0</v>
      </c>
      <c r="F302">
        <v>0</v>
      </c>
    </row>
    <row r="303" spans="5:6">
      <c r="E303">
        <v>0</v>
      </c>
      <c r="F303">
        <v>0</v>
      </c>
    </row>
    <row r="304" spans="5:6">
      <c r="E304">
        <v>1</v>
      </c>
      <c r="F304">
        <v>1</v>
      </c>
    </row>
    <row r="305" spans="5:6">
      <c r="E305">
        <v>0</v>
      </c>
      <c r="F305">
        <v>0</v>
      </c>
    </row>
    <row r="306" spans="5:6">
      <c r="E306">
        <v>0</v>
      </c>
      <c r="F306">
        <v>0</v>
      </c>
    </row>
    <row r="307" spans="5:6">
      <c r="E307">
        <v>0</v>
      </c>
      <c r="F307">
        <v>0</v>
      </c>
    </row>
    <row r="308" spans="5:6">
      <c r="E308">
        <v>0</v>
      </c>
      <c r="F308">
        <v>1</v>
      </c>
    </row>
    <row r="309" spans="5:6">
      <c r="E309">
        <v>1</v>
      </c>
      <c r="F309">
        <v>0</v>
      </c>
    </row>
    <row r="310" spans="5:6">
      <c r="E310">
        <v>0</v>
      </c>
      <c r="F310">
        <v>0</v>
      </c>
    </row>
    <row r="311" spans="5:6">
      <c r="E311">
        <v>0</v>
      </c>
      <c r="F311">
        <v>0</v>
      </c>
    </row>
    <row r="312" spans="5:6">
      <c r="E312">
        <v>0</v>
      </c>
      <c r="F312">
        <v>0</v>
      </c>
    </row>
    <row r="313" spans="5:6">
      <c r="E313">
        <v>0</v>
      </c>
      <c r="F313">
        <v>0</v>
      </c>
    </row>
    <row r="314" spans="5:6">
      <c r="E314">
        <v>0</v>
      </c>
      <c r="F314">
        <v>0</v>
      </c>
    </row>
    <row r="315" spans="5:6">
      <c r="E315">
        <v>0</v>
      </c>
      <c r="F315">
        <v>0</v>
      </c>
    </row>
    <row r="316" spans="5:6">
      <c r="E316">
        <v>0</v>
      </c>
      <c r="F316">
        <v>0</v>
      </c>
    </row>
    <row r="317" spans="5:6">
      <c r="E317">
        <v>0</v>
      </c>
      <c r="F317">
        <v>0</v>
      </c>
    </row>
    <row r="318" spans="5:6">
      <c r="E318">
        <v>0</v>
      </c>
      <c r="F318">
        <v>0</v>
      </c>
    </row>
    <row r="319" spans="5:6">
      <c r="E319">
        <v>0</v>
      </c>
      <c r="F319">
        <v>0</v>
      </c>
    </row>
    <row r="320" spans="5:6">
      <c r="E320">
        <v>0</v>
      </c>
      <c r="F320">
        <v>0</v>
      </c>
    </row>
    <row r="321" spans="5:6">
      <c r="E321">
        <v>0</v>
      </c>
      <c r="F321">
        <v>0</v>
      </c>
    </row>
    <row r="322" spans="5:6">
      <c r="E322">
        <v>0</v>
      </c>
      <c r="F322">
        <v>0</v>
      </c>
    </row>
    <row r="323" spans="5:6">
      <c r="E323">
        <v>0</v>
      </c>
      <c r="F323">
        <v>1</v>
      </c>
    </row>
    <row r="324" spans="5:6">
      <c r="E324">
        <v>0</v>
      </c>
      <c r="F324">
        <v>0</v>
      </c>
    </row>
    <row r="325" spans="5:6">
      <c r="E325">
        <v>0</v>
      </c>
      <c r="F325">
        <v>0</v>
      </c>
    </row>
    <row r="326" spans="5:6">
      <c r="E326">
        <v>0</v>
      </c>
      <c r="F326">
        <v>0</v>
      </c>
    </row>
    <row r="327" spans="5:6">
      <c r="E327">
        <v>0</v>
      </c>
      <c r="F327">
        <v>0</v>
      </c>
    </row>
    <row r="328" spans="5:6">
      <c r="E328">
        <v>0</v>
      </c>
      <c r="F328">
        <v>0</v>
      </c>
    </row>
    <row r="329" spans="5:6">
      <c r="E329">
        <v>0</v>
      </c>
      <c r="F329">
        <v>0</v>
      </c>
    </row>
    <row r="330" spans="5:6">
      <c r="E330">
        <v>0</v>
      </c>
      <c r="F330">
        <v>0</v>
      </c>
    </row>
    <row r="331" spans="5:6">
      <c r="E331">
        <v>0</v>
      </c>
      <c r="F331">
        <v>0</v>
      </c>
    </row>
    <row r="332" spans="5:6">
      <c r="E332">
        <v>1</v>
      </c>
      <c r="F332">
        <v>0</v>
      </c>
    </row>
    <row r="333" spans="5:6">
      <c r="E333">
        <v>0</v>
      </c>
      <c r="F333">
        <v>0</v>
      </c>
    </row>
    <row r="334" spans="5:6">
      <c r="E334">
        <v>0</v>
      </c>
      <c r="F334">
        <v>0</v>
      </c>
    </row>
    <row r="335" spans="5:6">
      <c r="E335">
        <v>0</v>
      </c>
      <c r="F335">
        <v>0</v>
      </c>
    </row>
    <row r="336" spans="5:6">
      <c r="E336">
        <v>1</v>
      </c>
      <c r="F336">
        <v>1</v>
      </c>
    </row>
    <row r="337" spans="5:6">
      <c r="E337">
        <v>1</v>
      </c>
      <c r="F337">
        <v>0</v>
      </c>
    </row>
    <row r="338" spans="5:6">
      <c r="E338">
        <v>0</v>
      </c>
      <c r="F338">
        <v>0</v>
      </c>
    </row>
    <row r="339" spans="5:6">
      <c r="E339">
        <v>0</v>
      </c>
      <c r="F339">
        <v>0</v>
      </c>
    </row>
    <row r="340" spans="5:6">
      <c r="E340">
        <v>0</v>
      </c>
      <c r="F340">
        <v>0</v>
      </c>
    </row>
    <row r="341" spans="5:6">
      <c r="E341">
        <v>0</v>
      </c>
      <c r="F341">
        <v>0</v>
      </c>
    </row>
    <row r="342" spans="5:6">
      <c r="E342">
        <v>0</v>
      </c>
      <c r="F342">
        <v>0</v>
      </c>
    </row>
    <row r="343" spans="5:6">
      <c r="E343">
        <v>0</v>
      </c>
      <c r="F343">
        <v>0</v>
      </c>
    </row>
    <row r="344" spans="5:6">
      <c r="E344">
        <v>0</v>
      </c>
      <c r="F344">
        <v>0</v>
      </c>
    </row>
    <row r="345" spans="5:6">
      <c r="E345">
        <v>0</v>
      </c>
      <c r="F345">
        <v>0</v>
      </c>
    </row>
    <row r="346" spans="5:6">
      <c r="E346">
        <v>0</v>
      </c>
      <c r="F346">
        <v>0</v>
      </c>
    </row>
    <row r="347" spans="5:6">
      <c r="E347">
        <v>0</v>
      </c>
      <c r="F347">
        <v>0</v>
      </c>
    </row>
    <row r="348" spans="5:6">
      <c r="E348">
        <v>0</v>
      </c>
      <c r="F348">
        <v>0</v>
      </c>
    </row>
    <row r="349" spans="5:6">
      <c r="E349">
        <v>0</v>
      </c>
      <c r="F349">
        <v>0</v>
      </c>
    </row>
    <row r="350" spans="5:6">
      <c r="E350">
        <v>0</v>
      </c>
      <c r="F350">
        <v>0</v>
      </c>
    </row>
    <row r="351" spans="5:6">
      <c r="E351">
        <v>0</v>
      </c>
      <c r="F351">
        <v>0</v>
      </c>
    </row>
    <row r="352" spans="5:6">
      <c r="E352">
        <v>0</v>
      </c>
      <c r="F352">
        <v>0</v>
      </c>
    </row>
    <row r="353" spans="5:6">
      <c r="E353">
        <v>0</v>
      </c>
      <c r="F353">
        <v>0</v>
      </c>
    </row>
    <row r="354" spans="5:6">
      <c r="E354">
        <v>0</v>
      </c>
      <c r="F354">
        <v>0</v>
      </c>
    </row>
    <row r="355" spans="5:6">
      <c r="E355">
        <v>0</v>
      </c>
      <c r="F355">
        <v>0</v>
      </c>
    </row>
    <row r="356" spans="5:6">
      <c r="E356">
        <v>0</v>
      </c>
      <c r="F356">
        <v>0</v>
      </c>
    </row>
    <row r="357" spans="5:6">
      <c r="E357">
        <v>0</v>
      </c>
      <c r="F357">
        <v>0</v>
      </c>
    </row>
    <row r="358" spans="5:6">
      <c r="E358">
        <v>0</v>
      </c>
      <c r="F358">
        <v>0</v>
      </c>
    </row>
    <row r="359" spans="5:6">
      <c r="E359">
        <v>0</v>
      </c>
      <c r="F359">
        <v>0</v>
      </c>
    </row>
    <row r="360" spans="5:6">
      <c r="E360">
        <v>0</v>
      </c>
      <c r="F360">
        <v>0</v>
      </c>
    </row>
    <row r="361" spans="5:6">
      <c r="E361">
        <v>0</v>
      </c>
      <c r="F361">
        <v>0</v>
      </c>
    </row>
    <row r="362" spans="5:6">
      <c r="E362">
        <v>0</v>
      </c>
      <c r="F362">
        <v>0</v>
      </c>
    </row>
    <row r="363" spans="5:6">
      <c r="E363">
        <v>0</v>
      </c>
      <c r="F363">
        <v>0</v>
      </c>
    </row>
    <row r="364" spans="5:6">
      <c r="E364">
        <v>0</v>
      </c>
      <c r="F364">
        <v>1</v>
      </c>
    </row>
    <row r="365" spans="5:6">
      <c r="E365">
        <v>0</v>
      </c>
      <c r="F365">
        <v>0</v>
      </c>
    </row>
    <row r="366" spans="5:6">
      <c r="E366">
        <v>0</v>
      </c>
      <c r="F366">
        <v>0</v>
      </c>
    </row>
    <row r="367" spans="5:6">
      <c r="E367">
        <v>0</v>
      </c>
      <c r="F367">
        <v>0</v>
      </c>
    </row>
    <row r="368" spans="5:6">
      <c r="E368">
        <v>0</v>
      </c>
      <c r="F368">
        <v>0</v>
      </c>
    </row>
    <row r="369" spans="5:6">
      <c r="E369">
        <v>0</v>
      </c>
      <c r="F369">
        <v>0</v>
      </c>
    </row>
    <row r="370" spans="5:6">
      <c r="E370">
        <v>0</v>
      </c>
      <c r="F370">
        <v>0</v>
      </c>
    </row>
    <row r="371" spans="5:6">
      <c r="E371">
        <v>0</v>
      </c>
      <c r="F371">
        <v>0</v>
      </c>
    </row>
    <row r="372" spans="5:6">
      <c r="E372">
        <v>0</v>
      </c>
      <c r="F372">
        <v>0</v>
      </c>
    </row>
    <row r="373" spans="5:6">
      <c r="E373">
        <v>0</v>
      </c>
      <c r="F373">
        <v>1</v>
      </c>
    </row>
    <row r="374" spans="5:6">
      <c r="E374">
        <v>0</v>
      </c>
      <c r="F374">
        <v>0</v>
      </c>
    </row>
    <row r="375" spans="5:6">
      <c r="E375">
        <v>0</v>
      </c>
      <c r="F375">
        <v>0</v>
      </c>
    </row>
    <row r="376" spans="5:6">
      <c r="E376">
        <v>0</v>
      </c>
      <c r="F376">
        <v>0</v>
      </c>
    </row>
    <row r="377" spans="5:6">
      <c r="E377">
        <v>0</v>
      </c>
      <c r="F377">
        <v>0</v>
      </c>
    </row>
    <row r="378" spans="5:6">
      <c r="E378">
        <v>0</v>
      </c>
      <c r="F378">
        <v>0</v>
      </c>
    </row>
    <row r="379" spans="5:6">
      <c r="E379">
        <v>0</v>
      </c>
      <c r="F379">
        <v>0</v>
      </c>
    </row>
    <row r="380" spans="5:6">
      <c r="E380">
        <v>0</v>
      </c>
      <c r="F380">
        <v>0</v>
      </c>
    </row>
    <row r="381" spans="5:6">
      <c r="E381">
        <v>0</v>
      </c>
      <c r="F381">
        <v>0</v>
      </c>
    </row>
    <row r="382" spans="5:6">
      <c r="E382">
        <v>0</v>
      </c>
      <c r="F382">
        <v>0</v>
      </c>
    </row>
    <row r="383" spans="5:6">
      <c r="E383">
        <v>0</v>
      </c>
      <c r="F383">
        <v>0</v>
      </c>
    </row>
    <row r="384" spans="5:6">
      <c r="E384">
        <v>0</v>
      </c>
      <c r="F384">
        <v>0</v>
      </c>
    </row>
    <row r="385" spans="5:6">
      <c r="E385">
        <v>0</v>
      </c>
      <c r="F385">
        <v>1</v>
      </c>
    </row>
    <row r="386" spans="5:6">
      <c r="E386">
        <v>0</v>
      </c>
      <c r="F386">
        <v>0</v>
      </c>
    </row>
    <row r="387" spans="5:6">
      <c r="E387">
        <v>0</v>
      </c>
      <c r="F387">
        <v>0</v>
      </c>
    </row>
    <row r="388" spans="5:6">
      <c r="E388">
        <v>0</v>
      </c>
      <c r="F388">
        <v>1</v>
      </c>
    </row>
    <row r="389" spans="5:6">
      <c r="E389">
        <v>0</v>
      </c>
      <c r="F389">
        <v>1</v>
      </c>
    </row>
    <row r="390" spans="5:6">
      <c r="E390">
        <v>0</v>
      </c>
      <c r="F390">
        <v>0</v>
      </c>
    </row>
    <row r="391" spans="5:6">
      <c r="E391">
        <v>0</v>
      </c>
      <c r="F391">
        <v>0</v>
      </c>
    </row>
    <row r="392" spans="5:6">
      <c r="E392">
        <v>0</v>
      </c>
      <c r="F392">
        <v>0</v>
      </c>
    </row>
    <row r="393" spans="5:6">
      <c r="E393">
        <v>0</v>
      </c>
      <c r="F393">
        <v>0</v>
      </c>
    </row>
    <row r="394" spans="5:6">
      <c r="E394">
        <v>0</v>
      </c>
      <c r="F394">
        <v>0</v>
      </c>
    </row>
    <row r="395" spans="5:6">
      <c r="E395">
        <v>0</v>
      </c>
      <c r="F395">
        <v>0</v>
      </c>
    </row>
    <row r="396" spans="5:6">
      <c r="E396">
        <v>0</v>
      </c>
      <c r="F396">
        <v>0</v>
      </c>
    </row>
    <row r="397" spans="5:6">
      <c r="E397">
        <v>0</v>
      </c>
      <c r="F397">
        <v>0</v>
      </c>
    </row>
    <row r="398" spans="5:6">
      <c r="E398">
        <v>0</v>
      </c>
      <c r="F398">
        <v>0</v>
      </c>
    </row>
    <row r="399" spans="5:6">
      <c r="E399">
        <v>0</v>
      </c>
      <c r="F399">
        <v>0</v>
      </c>
    </row>
    <row r="400" spans="5:6">
      <c r="E400">
        <v>0</v>
      </c>
      <c r="F400">
        <v>0</v>
      </c>
    </row>
    <row r="401" spans="5:6">
      <c r="E401">
        <v>0</v>
      </c>
      <c r="F401">
        <v>0</v>
      </c>
    </row>
    <row r="402" spans="5:6">
      <c r="E402">
        <v>0</v>
      </c>
      <c r="F402">
        <v>0</v>
      </c>
    </row>
    <row r="403" spans="5:6">
      <c r="E403">
        <v>0</v>
      </c>
      <c r="F403">
        <v>0</v>
      </c>
    </row>
    <row r="404" spans="5:6">
      <c r="E404">
        <v>0</v>
      </c>
      <c r="F404">
        <v>0</v>
      </c>
    </row>
    <row r="405" spans="5:6">
      <c r="E405">
        <v>0</v>
      </c>
      <c r="F405">
        <v>0</v>
      </c>
    </row>
    <row r="406" spans="5:6">
      <c r="E406">
        <v>0</v>
      </c>
      <c r="F406">
        <v>0</v>
      </c>
    </row>
    <row r="407" spans="5:6">
      <c r="E407">
        <v>0</v>
      </c>
      <c r="F407">
        <v>0</v>
      </c>
    </row>
    <row r="408" spans="5:6">
      <c r="E408">
        <v>0</v>
      </c>
      <c r="F408">
        <v>0</v>
      </c>
    </row>
    <row r="409" spans="5:6">
      <c r="E409">
        <v>0</v>
      </c>
      <c r="F409">
        <v>0</v>
      </c>
    </row>
    <row r="410" spans="5:6">
      <c r="E410">
        <v>0</v>
      </c>
      <c r="F410">
        <v>0</v>
      </c>
    </row>
    <row r="411" spans="5:6">
      <c r="E411">
        <v>0</v>
      </c>
      <c r="F411">
        <v>0</v>
      </c>
    </row>
    <row r="412" spans="5:6">
      <c r="E412">
        <v>1</v>
      </c>
      <c r="F412">
        <v>0</v>
      </c>
    </row>
    <row r="413" spans="5:6">
      <c r="E413">
        <v>0</v>
      </c>
      <c r="F413">
        <v>0</v>
      </c>
    </row>
    <row r="414" spans="5:6">
      <c r="E414">
        <v>0</v>
      </c>
      <c r="F414">
        <v>0</v>
      </c>
    </row>
    <row r="415" spans="5:6">
      <c r="E415">
        <v>0</v>
      </c>
      <c r="F415">
        <v>0</v>
      </c>
    </row>
    <row r="416" spans="5:6">
      <c r="E416">
        <v>0</v>
      </c>
      <c r="F416">
        <v>0</v>
      </c>
    </row>
    <row r="417" spans="5:6">
      <c r="E417">
        <v>0</v>
      </c>
      <c r="F417">
        <v>0</v>
      </c>
    </row>
    <row r="418" spans="5:6">
      <c r="E418">
        <v>0</v>
      </c>
      <c r="F418">
        <v>0</v>
      </c>
    </row>
    <row r="419" spans="5:6">
      <c r="E419">
        <v>0</v>
      </c>
      <c r="F419">
        <v>0</v>
      </c>
    </row>
    <row r="420" spans="5:6">
      <c r="E420">
        <v>0</v>
      </c>
      <c r="F420">
        <v>0</v>
      </c>
    </row>
    <row r="421" spans="5:6">
      <c r="E421">
        <v>0</v>
      </c>
      <c r="F421">
        <v>0</v>
      </c>
    </row>
    <row r="422" spans="5:6">
      <c r="E422">
        <v>0</v>
      </c>
      <c r="F422">
        <v>0</v>
      </c>
    </row>
    <row r="423" spans="5:6">
      <c r="E423">
        <v>0</v>
      </c>
      <c r="F423">
        <v>0</v>
      </c>
    </row>
    <row r="424" spans="5:6">
      <c r="E424">
        <v>0</v>
      </c>
      <c r="F424">
        <v>0</v>
      </c>
    </row>
    <row r="425" spans="5:6">
      <c r="E425">
        <v>0</v>
      </c>
      <c r="F425">
        <v>1</v>
      </c>
    </row>
    <row r="426" spans="5:6">
      <c r="E426">
        <v>0</v>
      </c>
      <c r="F426">
        <v>0</v>
      </c>
    </row>
    <row r="427" spans="5:6">
      <c r="E427">
        <v>0</v>
      </c>
      <c r="F427">
        <v>0</v>
      </c>
    </row>
    <row r="428" spans="5:6">
      <c r="E428">
        <v>0</v>
      </c>
      <c r="F428">
        <v>0</v>
      </c>
    </row>
    <row r="429" spans="5:6">
      <c r="E429">
        <v>0</v>
      </c>
      <c r="F429">
        <v>0</v>
      </c>
    </row>
    <row r="430" spans="5:6">
      <c r="E430">
        <v>0</v>
      </c>
      <c r="F430">
        <v>0</v>
      </c>
    </row>
    <row r="431" spans="5:6">
      <c r="E431">
        <v>0</v>
      </c>
      <c r="F431">
        <v>0</v>
      </c>
    </row>
    <row r="432" spans="5:6">
      <c r="E432">
        <v>0</v>
      </c>
      <c r="F432">
        <v>0</v>
      </c>
    </row>
    <row r="433" spans="5:6">
      <c r="E433">
        <v>0</v>
      </c>
      <c r="F433">
        <v>0</v>
      </c>
    </row>
    <row r="434" spans="5:6">
      <c r="E434">
        <v>0</v>
      </c>
      <c r="F434">
        <v>0</v>
      </c>
    </row>
    <row r="435" spans="5:6">
      <c r="E435">
        <v>0</v>
      </c>
      <c r="F435">
        <v>0</v>
      </c>
    </row>
    <row r="436" spans="5:6">
      <c r="E436">
        <v>0</v>
      </c>
      <c r="F436">
        <v>0</v>
      </c>
    </row>
    <row r="437" spans="5:6">
      <c r="E437">
        <v>0</v>
      </c>
      <c r="F437">
        <v>0</v>
      </c>
    </row>
    <row r="438" spans="5:6">
      <c r="E438">
        <v>0</v>
      </c>
      <c r="F438">
        <v>0</v>
      </c>
    </row>
    <row r="439" spans="5:6">
      <c r="E439">
        <v>0</v>
      </c>
      <c r="F439">
        <v>0</v>
      </c>
    </row>
    <row r="440" spans="5:6">
      <c r="E440">
        <v>0</v>
      </c>
      <c r="F440">
        <v>0</v>
      </c>
    </row>
    <row r="441" spans="5:6">
      <c r="E441">
        <v>1</v>
      </c>
      <c r="F441">
        <v>0</v>
      </c>
    </row>
    <row r="442" spans="5:6">
      <c r="E442">
        <v>0</v>
      </c>
      <c r="F442">
        <v>0</v>
      </c>
    </row>
    <row r="443" spans="5:6">
      <c r="E443">
        <v>0</v>
      </c>
      <c r="F443">
        <v>0</v>
      </c>
    </row>
    <row r="444" spans="5:6">
      <c r="E444">
        <v>0</v>
      </c>
      <c r="F444">
        <v>0</v>
      </c>
    </row>
    <row r="445" spans="5:6">
      <c r="E445">
        <v>0</v>
      </c>
      <c r="F445">
        <v>0</v>
      </c>
    </row>
    <row r="446" spans="5:6">
      <c r="E446">
        <v>0</v>
      </c>
      <c r="F446">
        <v>0</v>
      </c>
    </row>
    <row r="447" spans="5:6">
      <c r="E447">
        <v>0</v>
      </c>
      <c r="F447">
        <v>0</v>
      </c>
    </row>
    <row r="448" spans="5:6">
      <c r="E448">
        <v>0</v>
      </c>
      <c r="F448">
        <v>0</v>
      </c>
    </row>
    <row r="449" spans="5:6">
      <c r="E449">
        <v>0</v>
      </c>
      <c r="F449">
        <v>0</v>
      </c>
    </row>
    <row r="450" spans="5:6">
      <c r="E450">
        <v>0</v>
      </c>
      <c r="F450">
        <v>0</v>
      </c>
    </row>
    <row r="451" spans="5:6">
      <c r="E451">
        <v>0</v>
      </c>
      <c r="F451">
        <v>0</v>
      </c>
    </row>
    <row r="452" spans="5:6">
      <c r="E452">
        <v>0</v>
      </c>
      <c r="F452">
        <v>0</v>
      </c>
    </row>
    <row r="453" spans="5:6">
      <c r="E453">
        <v>0</v>
      </c>
      <c r="F453">
        <v>1</v>
      </c>
    </row>
    <row r="454" spans="5:6">
      <c r="E454">
        <v>0</v>
      </c>
      <c r="F454">
        <v>0</v>
      </c>
    </row>
    <row r="455" spans="5:6">
      <c r="E455">
        <v>0</v>
      </c>
      <c r="F455">
        <v>0</v>
      </c>
    </row>
    <row r="456" spans="5:6">
      <c r="E456">
        <v>0</v>
      </c>
      <c r="F456">
        <v>1</v>
      </c>
    </row>
    <row r="457" spans="5:6">
      <c r="E457">
        <v>0</v>
      </c>
      <c r="F457">
        <v>0</v>
      </c>
    </row>
    <row r="458" spans="5:6">
      <c r="E458">
        <v>0</v>
      </c>
      <c r="F458">
        <v>1</v>
      </c>
    </row>
    <row r="459" spans="5:6">
      <c r="E459">
        <v>0</v>
      </c>
      <c r="F459">
        <v>0</v>
      </c>
    </row>
    <row r="460" spans="5:6">
      <c r="E460">
        <v>0</v>
      </c>
      <c r="F460">
        <v>0</v>
      </c>
    </row>
    <row r="461" spans="5:6">
      <c r="E461">
        <v>0</v>
      </c>
      <c r="F461">
        <v>0</v>
      </c>
    </row>
    <row r="462" spans="5:6">
      <c r="E462">
        <v>0</v>
      </c>
      <c r="F462">
        <v>0</v>
      </c>
    </row>
    <row r="463" spans="5:6">
      <c r="E463">
        <v>0</v>
      </c>
      <c r="F463">
        <v>0</v>
      </c>
    </row>
    <row r="464" spans="5:6">
      <c r="E464">
        <v>0</v>
      </c>
      <c r="F464">
        <v>0</v>
      </c>
    </row>
    <row r="465" spans="5:6">
      <c r="E465">
        <v>0</v>
      </c>
      <c r="F465">
        <v>0</v>
      </c>
    </row>
    <row r="466" spans="5:6">
      <c r="E466">
        <v>0</v>
      </c>
      <c r="F466">
        <v>0</v>
      </c>
    </row>
    <row r="467" spans="5:6">
      <c r="E467">
        <v>0</v>
      </c>
      <c r="F467">
        <v>0</v>
      </c>
    </row>
    <row r="468" spans="5:6">
      <c r="E468">
        <v>0</v>
      </c>
      <c r="F468">
        <v>0</v>
      </c>
    </row>
    <row r="469" spans="5:6">
      <c r="E469">
        <v>0</v>
      </c>
      <c r="F469">
        <v>0</v>
      </c>
    </row>
    <row r="470" spans="5:6">
      <c r="E470">
        <v>0</v>
      </c>
      <c r="F470">
        <v>0</v>
      </c>
    </row>
    <row r="471" spans="5:6">
      <c r="E471">
        <v>0</v>
      </c>
      <c r="F471">
        <v>0</v>
      </c>
    </row>
    <row r="472" spans="5:6">
      <c r="E472">
        <v>0</v>
      </c>
      <c r="F472">
        <v>0</v>
      </c>
    </row>
    <row r="473" spans="5:6">
      <c r="E473">
        <v>0</v>
      </c>
      <c r="F473">
        <v>0</v>
      </c>
    </row>
    <row r="474" spans="5:6">
      <c r="E474">
        <v>0</v>
      </c>
      <c r="F474">
        <v>0</v>
      </c>
    </row>
    <row r="475" spans="5:6">
      <c r="E475">
        <v>0</v>
      </c>
      <c r="F475">
        <v>0</v>
      </c>
    </row>
    <row r="476" spans="5:6">
      <c r="E476">
        <v>0</v>
      </c>
      <c r="F476">
        <v>0</v>
      </c>
    </row>
    <row r="477" spans="5:6">
      <c r="E477">
        <v>0</v>
      </c>
      <c r="F477">
        <v>0</v>
      </c>
    </row>
    <row r="478" spans="5:6">
      <c r="E478">
        <v>0</v>
      </c>
      <c r="F478">
        <v>0</v>
      </c>
    </row>
    <row r="479" spans="5:6">
      <c r="E479">
        <v>0</v>
      </c>
      <c r="F479">
        <v>1</v>
      </c>
    </row>
    <row r="480" spans="5:6">
      <c r="E480">
        <v>0</v>
      </c>
      <c r="F480">
        <v>0</v>
      </c>
    </row>
    <row r="481" spans="5:6">
      <c r="E481">
        <v>0</v>
      </c>
      <c r="F481">
        <v>0</v>
      </c>
    </row>
    <row r="482" spans="5:6">
      <c r="E482">
        <v>0</v>
      </c>
      <c r="F482">
        <v>0</v>
      </c>
    </row>
    <row r="483" spans="5:6">
      <c r="E483">
        <v>0</v>
      </c>
      <c r="F483">
        <v>0</v>
      </c>
    </row>
    <row r="484" spans="5:6">
      <c r="E484">
        <v>0</v>
      </c>
      <c r="F484">
        <v>0</v>
      </c>
    </row>
    <row r="485" spans="5:6">
      <c r="E485">
        <v>0</v>
      </c>
      <c r="F485">
        <v>0</v>
      </c>
    </row>
    <row r="486" spans="5:6">
      <c r="E486">
        <v>0</v>
      </c>
      <c r="F486">
        <v>0</v>
      </c>
    </row>
    <row r="487" spans="5:6">
      <c r="E487">
        <v>0</v>
      </c>
      <c r="F487">
        <v>0</v>
      </c>
    </row>
    <row r="488" spans="5:6">
      <c r="E488">
        <v>0</v>
      </c>
      <c r="F488">
        <v>0</v>
      </c>
    </row>
    <row r="489" spans="5:6">
      <c r="E489">
        <v>0</v>
      </c>
      <c r="F489">
        <v>0</v>
      </c>
    </row>
    <row r="490" spans="5:6">
      <c r="E490">
        <v>0</v>
      </c>
      <c r="F490">
        <v>1</v>
      </c>
    </row>
    <row r="491" spans="5:6">
      <c r="E491">
        <v>0</v>
      </c>
      <c r="F491">
        <v>0</v>
      </c>
    </row>
    <row r="492" spans="5:6">
      <c r="E492">
        <v>0</v>
      </c>
      <c r="F492">
        <v>0</v>
      </c>
    </row>
    <row r="493" spans="5:6">
      <c r="E493">
        <v>0</v>
      </c>
      <c r="F493">
        <v>0</v>
      </c>
    </row>
    <row r="494" spans="5:6">
      <c r="E494">
        <v>0</v>
      </c>
      <c r="F494">
        <v>0</v>
      </c>
    </row>
    <row r="495" spans="5:6">
      <c r="E495">
        <v>0</v>
      </c>
      <c r="F495">
        <v>0</v>
      </c>
    </row>
    <row r="496" spans="5:6">
      <c r="E496">
        <v>0</v>
      </c>
      <c r="F496">
        <v>0</v>
      </c>
    </row>
    <row r="497" spans="5:6">
      <c r="E497">
        <v>0</v>
      </c>
      <c r="F497">
        <v>0</v>
      </c>
    </row>
    <row r="498" spans="5:6">
      <c r="E498">
        <v>0</v>
      </c>
      <c r="F498">
        <v>0</v>
      </c>
    </row>
    <row r="499" spans="5:6">
      <c r="E499">
        <v>0</v>
      </c>
      <c r="F499">
        <v>0</v>
      </c>
    </row>
    <row r="500" spans="5:6">
      <c r="E500">
        <v>0</v>
      </c>
      <c r="F500">
        <v>0</v>
      </c>
    </row>
    <row r="501" spans="5:6">
      <c r="E501">
        <v>0</v>
      </c>
      <c r="F501">
        <v>0</v>
      </c>
    </row>
    <row r="502" spans="5:6">
      <c r="E502">
        <v>1</v>
      </c>
      <c r="F502">
        <v>0</v>
      </c>
    </row>
    <row r="503" spans="5:6">
      <c r="E503">
        <v>0</v>
      </c>
      <c r="F503">
        <v>0</v>
      </c>
    </row>
    <row r="504" spans="5:6">
      <c r="E504">
        <v>0</v>
      </c>
      <c r="F504">
        <v>0</v>
      </c>
    </row>
    <row r="505" spans="5:6">
      <c r="E505">
        <v>0</v>
      </c>
      <c r="F505">
        <v>0</v>
      </c>
    </row>
    <row r="506" spans="5:6">
      <c r="E506">
        <v>0</v>
      </c>
      <c r="F506">
        <v>0</v>
      </c>
    </row>
    <row r="507" spans="5:6">
      <c r="E507">
        <v>0</v>
      </c>
      <c r="F507">
        <v>0</v>
      </c>
    </row>
    <row r="508" spans="5:6">
      <c r="E508">
        <v>0</v>
      </c>
      <c r="F508">
        <v>0</v>
      </c>
    </row>
    <row r="509" spans="5:6">
      <c r="E509">
        <v>0</v>
      </c>
      <c r="F509">
        <v>0</v>
      </c>
    </row>
    <row r="510" spans="5:6">
      <c r="E510">
        <v>0</v>
      </c>
      <c r="F510">
        <v>0</v>
      </c>
    </row>
    <row r="511" spans="5:6">
      <c r="E511">
        <v>0</v>
      </c>
      <c r="F511">
        <v>0</v>
      </c>
    </row>
    <row r="512" spans="5:6">
      <c r="E512">
        <v>0</v>
      </c>
      <c r="F512">
        <v>0</v>
      </c>
    </row>
    <row r="513" spans="5:6">
      <c r="E513">
        <v>0</v>
      </c>
      <c r="F513">
        <v>0</v>
      </c>
    </row>
    <row r="514" spans="5:6">
      <c r="E514">
        <v>0</v>
      </c>
      <c r="F514">
        <v>0</v>
      </c>
    </row>
    <row r="515" spans="5:6">
      <c r="E515">
        <v>0</v>
      </c>
      <c r="F515">
        <v>0</v>
      </c>
    </row>
    <row r="516" spans="5:6">
      <c r="E516">
        <v>0</v>
      </c>
      <c r="F516">
        <v>0</v>
      </c>
    </row>
    <row r="517" spans="5:6">
      <c r="E517">
        <v>0</v>
      </c>
      <c r="F517">
        <v>0</v>
      </c>
    </row>
    <row r="518" spans="5:6">
      <c r="E518">
        <v>0</v>
      </c>
      <c r="F518">
        <v>0</v>
      </c>
    </row>
    <row r="519" spans="5:6">
      <c r="E519">
        <v>0</v>
      </c>
      <c r="F519">
        <v>0</v>
      </c>
    </row>
    <row r="520" spans="5:6">
      <c r="E520">
        <v>0</v>
      </c>
      <c r="F520">
        <v>0</v>
      </c>
    </row>
    <row r="521" spans="5:6">
      <c r="E521">
        <v>0</v>
      </c>
      <c r="F521">
        <v>0</v>
      </c>
    </row>
    <row r="522" spans="5:6">
      <c r="E522">
        <v>0</v>
      </c>
      <c r="F522">
        <v>0</v>
      </c>
    </row>
    <row r="523" spans="5:6">
      <c r="E523">
        <v>0</v>
      </c>
      <c r="F523">
        <v>0</v>
      </c>
    </row>
    <row r="524" spans="5:6">
      <c r="E524">
        <v>0</v>
      </c>
      <c r="F524">
        <v>0</v>
      </c>
    </row>
    <row r="525" spans="5:6">
      <c r="E525">
        <v>0</v>
      </c>
      <c r="F525">
        <v>0</v>
      </c>
    </row>
    <row r="526" spans="5:6">
      <c r="E526">
        <v>0</v>
      </c>
      <c r="F526">
        <v>0</v>
      </c>
    </row>
    <row r="527" spans="5:6">
      <c r="E527">
        <v>0</v>
      </c>
      <c r="F527">
        <v>0</v>
      </c>
    </row>
    <row r="528" spans="5:6">
      <c r="E528">
        <v>0</v>
      </c>
      <c r="F528">
        <v>0</v>
      </c>
    </row>
    <row r="529" spans="5:6">
      <c r="E529">
        <v>0</v>
      </c>
      <c r="F529">
        <v>0</v>
      </c>
    </row>
    <row r="530" spans="5:6">
      <c r="E530">
        <v>0</v>
      </c>
      <c r="F530">
        <v>0</v>
      </c>
    </row>
    <row r="531" spans="5:6">
      <c r="E531">
        <v>0</v>
      </c>
      <c r="F531">
        <v>0</v>
      </c>
    </row>
    <row r="532" spans="5:6">
      <c r="E532">
        <v>0</v>
      </c>
      <c r="F532">
        <v>1</v>
      </c>
    </row>
    <row r="533" spans="5:6">
      <c r="E533">
        <v>0</v>
      </c>
      <c r="F533">
        <v>1</v>
      </c>
    </row>
    <row r="534" spans="5:6">
      <c r="E534">
        <v>0</v>
      </c>
      <c r="F534">
        <v>0</v>
      </c>
    </row>
    <row r="535" spans="5:6">
      <c r="E535">
        <v>0</v>
      </c>
      <c r="F535">
        <v>0</v>
      </c>
    </row>
    <row r="536" spans="5:6">
      <c r="E536">
        <v>0</v>
      </c>
      <c r="F536">
        <v>0</v>
      </c>
    </row>
    <row r="537" spans="5:6">
      <c r="E537">
        <v>0</v>
      </c>
      <c r="F537">
        <v>1</v>
      </c>
    </row>
    <row r="538" spans="5:6">
      <c r="E538">
        <v>0</v>
      </c>
      <c r="F538">
        <v>0</v>
      </c>
    </row>
    <row r="539" spans="5:6">
      <c r="E539">
        <v>0</v>
      </c>
      <c r="F539">
        <v>0</v>
      </c>
    </row>
    <row r="540" spans="5:6">
      <c r="E540">
        <v>0</v>
      </c>
      <c r="F540">
        <v>0</v>
      </c>
    </row>
    <row r="541" spans="5:6">
      <c r="E541">
        <v>0</v>
      </c>
      <c r="F541">
        <v>0</v>
      </c>
    </row>
    <row r="542" spans="5:6">
      <c r="E542">
        <v>0</v>
      </c>
      <c r="F542">
        <v>0</v>
      </c>
    </row>
    <row r="543" spans="5:6">
      <c r="E543">
        <v>0</v>
      </c>
      <c r="F543">
        <v>0</v>
      </c>
    </row>
    <row r="544" spans="5:6">
      <c r="E544">
        <v>0</v>
      </c>
      <c r="F544">
        <v>0</v>
      </c>
    </row>
    <row r="545" spans="5:6">
      <c r="E545">
        <v>0</v>
      </c>
      <c r="F545">
        <v>0</v>
      </c>
    </row>
    <row r="546" spans="5:6">
      <c r="E546">
        <v>0</v>
      </c>
      <c r="F546">
        <v>0</v>
      </c>
    </row>
    <row r="547" spans="5:6">
      <c r="E547">
        <v>0</v>
      </c>
      <c r="F547">
        <v>0</v>
      </c>
    </row>
    <row r="548" spans="5:6">
      <c r="E548">
        <v>0</v>
      </c>
      <c r="F548">
        <v>1</v>
      </c>
    </row>
    <row r="549" spans="5:6">
      <c r="E549">
        <v>0</v>
      </c>
      <c r="F549">
        <v>0</v>
      </c>
    </row>
    <row r="550" spans="5:6">
      <c r="E550">
        <v>0</v>
      </c>
      <c r="F550">
        <v>0</v>
      </c>
    </row>
    <row r="551" spans="5:6">
      <c r="E551">
        <v>0</v>
      </c>
      <c r="F551">
        <v>0</v>
      </c>
    </row>
    <row r="552" spans="5:6">
      <c r="E552">
        <v>0</v>
      </c>
      <c r="F552">
        <v>0</v>
      </c>
    </row>
    <row r="553" spans="5:6">
      <c r="E553">
        <v>0</v>
      </c>
      <c r="F553">
        <v>0</v>
      </c>
    </row>
    <row r="554" spans="5:6">
      <c r="E554">
        <v>0</v>
      </c>
      <c r="F554">
        <v>0</v>
      </c>
    </row>
    <row r="555" spans="5:6">
      <c r="E555">
        <v>0</v>
      </c>
      <c r="F555">
        <v>0</v>
      </c>
    </row>
    <row r="556" spans="5:6">
      <c r="E556">
        <v>0</v>
      </c>
      <c r="F556">
        <v>0</v>
      </c>
    </row>
    <row r="557" spans="5:6">
      <c r="E557">
        <v>0</v>
      </c>
      <c r="F557">
        <v>0</v>
      </c>
    </row>
    <row r="558" spans="5:6">
      <c r="E558">
        <v>0</v>
      </c>
      <c r="F558">
        <v>0</v>
      </c>
    </row>
    <row r="559" spans="5:6">
      <c r="E559">
        <v>0</v>
      </c>
      <c r="F559">
        <v>0</v>
      </c>
    </row>
    <row r="560" spans="5:6">
      <c r="E560">
        <v>0</v>
      </c>
      <c r="F560">
        <v>0</v>
      </c>
    </row>
    <row r="561" spans="5:6">
      <c r="E561">
        <v>0</v>
      </c>
      <c r="F561">
        <v>0</v>
      </c>
    </row>
    <row r="562" spans="5:6">
      <c r="E562">
        <v>0</v>
      </c>
      <c r="F562">
        <v>1</v>
      </c>
    </row>
    <row r="563" spans="5:6">
      <c r="E563">
        <v>0</v>
      </c>
      <c r="F563">
        <v>0</v>
      </c>
    </row>
    <row r="564" spans="5:6">
      <c r="E564">
        <v>0</v>
      </c>
      <c r="F564">
        <v>0</v>
      </c>
    </row>
    <row r="565" spans="5:6">
      <c r="E565">
        <v>0</v>
      </c>
      <c r="F565">
        <v>0</v>
      </c>
    </row>
    <row r="566" spans="5:6">
      <c r="E566">
        <v>0</v>
      </c>
      <c r="F566">
        <v>0</v>
      </c>
    </row>
    <row r="567" spans="5:6">
      <c r="E567">
        <v>0</v>
      </c>
      <c r="F567">
        <v>1</v>
      </c>
    </row>
    <row r="568" spans="5:6">
      <c r="E568">
        <v>0</v>
      </c>
      <c r="F568">
        <v>0</v>
      </c>
    </row>
    <row r="569" spans="5:6">
      <c r="E569">
        <v>0</v>
      </c>
      <c r="F569">
        <v>0</v>
      </c>
    </row>
    <row r="570" spans="5:6">
      <c r="E570">
        <v>0</v>
      </c>
      <c r="F570">
        <v>0</v>
      </c>
    </row>
    <row r="571" spans="5:6">
      <c r="E571">
        <v>0</v>
      </c>
      <c r="F571">
        <v>0</v>
      </c>
    </row>
    <row r="572" spans="5:6">
      <c r="E572">
        <v>0</v>
      </c>
      <c r="F572">
        <v>0</v>
      </c>
    </row>
    <row r="573" spans="5:6">
      <c r="E573">
        <v>0</v>
      </c>
      <c r="F573">
        <v>0</v>
      </c>
    </row>
    <row r="574" spans="5:6">
      <c r="E574">
        <v>0</v>
      </c>
      <c r="F574">
        <v>0</v>
      </c>
    </row>
    <row r="575" spans="5:6">
      <c r="E575">
        <v>0</v>
      </c>
      <c r="F575">
        <v>0</v>
      </c>
    </row>
    <row r="576" spans="5:6">
      <c r="E576">
        <v>0</v>
      </c>
      <c r="F576">
        <v>0</v>
      </c>
    </row>
    <row r="577" spans="5:6">
      <c r="E577">
        <v>0</v>
      </c>
      <c r="F577">
        <v>0</v>
      </c>
    </row>
    <row r="578" spans="5:6">
      <c r="E578">
        <v>0</v>
      </c>
      <c r="F578">
        <v>0</v>
      </c>
    </row>
    <row r="579" spans="5:6">
      <c r="E579">
        <v>0</v>
      </c>
      <c r="F579">
        <v>0</v>
      </c>
    </row>
    <row r="580" spans="5:6">
      <c r="E580">
        <v>0</v>
      </c>
      <c r="F580">
        <v>0</v>
      </c>
    </row>
    <row r="581" spans="5:6">
      <c r="E581">
        <v>0</v>
      </c>
      <c r="F581">
        <v>0</v>
      </c>
    </row>
    <row r="582" spans="5:6">
      <c r="E582">
        <v>0</v>
      </c>
      <c r="F582">
        <v>0</v>
      </c>
    </row>
    <row r="583" spans="5:6">
      <c r="E583">
        <v>0</v>
      </c>
      <c r="F583">
        <v>0</v>
      </c>
    </row>
    <row r="584" spans="5:6">
      <c r="E584">
        <v>0</v>
      </c>
      <c r="F584">
        <v>0</v>
      </c>
    </row>
    <row r="585" spans="5:6">
      <c r="E585">
        <v>0</v>
      </c>
      <c r="F585">
        <v>0</v>
      </c>
    </row>
    <row r="586" spans="5:6">
      <c r="E586">
        <v>0</v>
      </c>
      <c r="F586">
        <v>0</v>
      </c>
    </row>
    <row r="587" spans="5:6">
      <c r="E587">
        <v>0</v>
      </c>
      <c r="F587">
        <v>0</v>
      </c>
    </row>
    <row r="588" spans="5:6">
      <c r="E588">
        <v>0</v>
      </c>
      <c r="F588">
        <v>0</v>
      </c>
    </row>
    <row r="589" spans="5:6">
      <c r="E589">
        <v>0</v>
      </c>
      <c r="F589">
        <v>0</v>
      </c>
    </row>
    <row r="590" spans="5:6">
      <c r="E590">
        <v>0</v>
      </c>
      <c r="F590">
        <v>0</v>
      </c>
    </row>
    <row r="591" spans="5:6">
      <c r="E591">
        <v>0</v>
      </c>
      <c r="F591">
        <v>0</v>
      </c>
    </row>
    <row r="592" spans="5:6">
      <c r="E592">
        <v>0</v>
      </c>
      <c r="F592">
        <v>0</v>
      </c>
    </row>
    <row r="593" spans="5:6">
      <c r="E593">
        <v>0</v>
      </c>
      <c r="F593">
        <v>0</v>
      </c>
    </row>
    <row r="594" spans="5:6">
      <c r="E594">
        <v>0</v>
      </c>
      <c r="F594">
        <v>0</v>
      </c>
    </row>
    <row r="595" spans="5:6">
      <c r="E595">
        <v>1</v>
      </c>
      <c r="F595">
        <v>0</v>
      </c>
    </row>
    <row r="596" spans="5:6">
      <c r="E596">
        <v>0</v>
      </c>
      <c r="F596">
        <v>0</v>
      </c>
    </row>
    <row r="597" spans="5:6">
      <c r="E597">
        <v>0</v>
      </c>
      <c r="F597">
        <v>0</v>
      </c>
    </row>
    <row r="598" spans="5:6">
      <c r="E598">
        <v>0</v>
      </c>
      <c r="F598">
        <v>0</v>
      </c>
    </row>
    <row r="599" spans="5:6">
      <c r="E599">
        <v>0</v>
      </c>
      <c r="F599">
        <v>0</v>
      </c>
    </row>
    <row r="600" spans="5:6">
      <c r="E600">
        <v>0</v>
      </c>
      <c r="F600">
        <v>0</v>
      </c>
    </row>
    <row r="601" spans="5:6">
      <c r="E601">
        <v>0</v>
      </c>
      <c r="F601">
        <v>0</v>
      </c>
    </row>
    <row r="602" spans="5:6">
      <c r="E602">
        <v>0</v>
      </c>
      <c r="F602">
        <v>0</v>
      </c>
    </row>
    <row r="603" spans="5:6">
      <c r="E603">
        <v>0</v>
      </c>
      <c r="F603">
        <v>0</v>
      </c>
    </row>
    <row r="604" spans="5:6">
      <c r="E604">
        <v>0</v>
      </c>
      <c r="F604">
        <v>0</v>
      </c>
    </row>
    <row r="605" spans="5:6">
      <c r="E605">
        <v>0</v>
      </c>
      <c r="F605">
        <v>0</v>
      </c>
    </row>
    <row r="606" spans="5:6">
      <c r="E606">
        <v>0</v>
      </c>
      <c r="F606">
        <v>0</v>
      </c>
    </row>
    <row r="607" spans="5:6">
      <c r="E607">
        <v>0</v>
      </c>
      <c r="F607">
        <v>0</v>
      </c>
    </row>
    <row r="608" spans="5:6">
      <c r="E608">
        <v>0</v>
      </c>
      <c r="F608">
        <v>1</v>
      </c>
    </row>
    <row r="609" spans="5:6">
      <c r="E609">
        <v>0</v>
      </c>
      <c r="F609">
        <v>0</v>
      </c>
    </row>
    <row r="610" spans="5:6">
      <c r="E610">
        <v>0</v>
      </c>
      <c r="F610">
        <v>0</v>
      </c>
    </row>
    <row r="611" spans="5:6">
      <c r="E611">
        <v>0</v>
      </c>
      <c r="F611">
        <v>0</v>
      </c>
    </row>
    <row r="612" spans="5:6">
      <c r="E612">
        <v>0</v>
      </c>
      <c r="F612">
        <v>0</v>
      </c>
    </row>
    <row r="613" spans="5:6">
      <c r="E613">
        <v>0</v>
      </c>
      <c r="F613">
        <v>0</v>
      </c>
    </row>
    <row r="614" spans="5:6">
      <c r="E614">
        <v>0</v>
      </c>
      <c r="F614">
        <v>0</v>
      </c>
    </row>
    <row r="615" spans="5:6">
      <c r="E615">
        <v>0</v>
      </c>
      <c r="F615">
        <v>0</v>
      </c>
    </row>
    <row r="616" spans="5:6">
      <c r="E616">
        <v>0</v>
      </c>
      <c r="F616">
        <v>0</v>
      </c>
    </row>
    <row r="617" spans="5:6">
      <c r="E617">
        <v>0</v>
      </c>
      <c r="F617">
        <v>0</v>
      </c>
    </row>
    <row r="618" spans="5:6">
      <c r="E618">
        <v>0</v>
      </c>
      <c r="F618">
        <v>0</v>
      </c>
    </row>
    <row r="619" spans="5:6">
      <c r="E619">
        <v>0</v>
      </c>
      <c r="F619">
        <v>0</v>
      </c>
    </row>
    <row r="620" spans="5:6">
      <c r="E620">
        <v>0</v>
      </c>
      <c r="F620">
        <v>0</v>
      </c>
    </row>
    <row r="621" spans="5:6">
      <c r="E621">
        <v>0</v>
      </c>
      <c r="F621">
        <v>0</v>
      </c>
    </row>
    <row r="622" spans="5:6">
      <c r="E622">
        <v>0</v>
      </c>
      <c r="F622">
        <v>1</v>
      </c>
    </row>
    <row r="623" spans="5:6">
      <c r="E623">
        <v>0</v>
      </c>
      <c r="F623">
        <v>0</v>
      </c>
    </row>
    <row r="624" spans="5:6">
      <c r="E624">
        <v>0</v>
      </c>
      <c r="F624">
        <v>0</v>
      </c>
    </row>
    <row r="625" spans="5:6">
      <c r="E625">
        <v>0</v>
      </c>
      <c r="F625">
        <v>0</v>
      </c>
    </row>
    <row r="626" spans="5:6">
      <c r="E626">
        <v>0</v>
      </c>
      <c r="F626">
        <v>0</v>
      </c>
    </row>
    <row r="627" spans="5:6">
      <c r="E627">
        <v>0</v>
      </c>
      <c r="F627">
        <v>0</v>
      </c>
    </row>
    <row r="628" spans="5:6">
      <c r="E628">
        <v>0</v>
      </c>
      <c r="F628">
        <v>0</v>
      </c>
    </row>
    <row r="629" spans="5:6">
      <c r="E629">
        <v>0</v>
      </c>
      <c r="F629">
        <v>0</v>
      </c>
    </row>
    <row r="630" spans="5:6">
      <c r="E630">
        <v>0</v>
      </c>
      <c r="F630">
        <v>1</v>
      </c>
    </row>
    <row r="631" spans="5:6">
      <c r="E631">
        <v>0</v>
      </c>
      <c r="F631">
        <v>0</v>
      </c>
    </row>
    <row r="632" spans="5:6">
      <c r="E632">
        <v>0</v>
      </c>
      <c r="F632">
        <v>0</v>
      </c>
    </row>
    <row r="633" spans="5:6">
      <c r="E633">
        <v>0</v>
      </c>
      <c r="F633">
        <v>1</v>
      </c>
    </row>
    <row r="634" spans="5:6">
      <c r="E634">
        <v>0</v>
      </c>
      <c r="F634">
        <v>0</v>
      </c>
    </row>
    <row r="635" spans="5:6">
      <c r="E635">
        <v>0</v>
      </c>
      <c r="F635">
        <v>0</v>
      </c>
    </row>
    <row r="636" spans="5:6">
      <c r="E636">
        <v>0</v>
      </c>
      <c r="F636">
        <v>0</v>
      </c>
    </row>
    <row r="637" spans="5:6">
      <c r="E637">
        <v>0</v>
      </c>
      <c r="F637">
        <v>0</v>
      </c>
    </row>
    <row r="638" spans="5:6">
      <c r="E638">
        <v>0</v>
      </c>
      <c r="F638">
        <v>0</v>
      </c>
    </row>
    <row r="639" spans="5:6">
      <c r="E639">
        <v>0</v>
      </c>
      <c r="F639">
        <v>0</v>
      </c>
    </row>
    <row r="640" spans="5:6">
      <c r="E640">
        <v>0</v>
      </c>
      <c r="F640">
        <v>0</v>
      </c>
    </row>
    <row r="641" spans="5:6">
      <c r="E641">
        <v>0</v>
      </c>
      <c r="F641">
        <v>0</v>
      </c>
    </row>
    <row r="642" spans="5:6">
      <c r="E642">
        <v>0</v>
      </c>
      <c r="F642">
        <v>0</v>
      </c>
    </row>
    <row r="643" spans="5:6">
      <c r="E643">
        <v>0</v>
      </c>
      <c r="F643">
        <v>0</v>
      </c>
    </row>
    <row r="644" spans="5:6">
      <c r="E644">
        <v>0</v>
      </c>
      <c r="F644">
        <v>0</v>
      </c>
    </row>
    <row r="645" spans="5:6">
      <c r="E645">
        <v>0</v>
      </c>
      <c r="F645">
        <v>0</v>
      </c>
    </row>
    <row r="646" spans="5:6">
      <c r="E646">
        <v>0</v>
      </c>
      <c r="F646">
        <v>0</v>
      </c>
    </row>
    <row r="647" spans="5:6">
      <c r="E647">
        <v>0</v>
      </c>
      <c r="F647">
        <v>0</v>
      </c>
    </row>
    <row r="648" spans="5:6">
      <c r="E648">
        <v>0</v>
      </c>
      <c r="F648">
        <v>0</v>
      </c>
    </row>
    <row r="649" spans="5:6">
      <c r="E649">
        <v>0</v>
      </c>
      <c r="F649">
        <v>0</v>
      </c>
    </row>
    <row r="650" spans="5:6">
      <c r="E650">
        <v>0</v>
      </c>
      <c r="F650">
        <v>0</v>
      </c>
    </row>
    <row r="651" spans="5:6">
      <c r="E651">
        <v>0</v>
      </c>
      <c r="F651">
        <v>0</v>
      </c>
    </row>
    <row r="652" spans="5:6">
      <c r="E652">
        <v>0</v>
      </c>
      <c r="F652">
        <v>0</v>
      </c>
    </row>
    <row r="653" spans="5:6">
      <c r="E653">
        <v>0</v>
      </c>
      <c r="F653">
        <v>0</v>
      </c>
    </row>
    <row r="654" spans="5:6">
      <c r="E654">
        <v>0</v>
      </c>
      <c r="F654">
        <v>0</v>
      </c>
    </row>
    <row r="655" spans="5:6">
      <c r="E655">
        <v>0</v>
      </c>
      <c r="F655">
        <v>0</v>
      </c>
    </row>
    <row r="656" spans="5:6">
      <c r="E656">
        <v>0</v>
      </c>
      <c r="F656">
        <v>0</v>
      </c>
    </row>
    <row r="657" spans="5:6">
      <c r="E657">
        <v>0</v>
      </c>
      <c r="F657">
        <v>0</v>
      </c>
    </row>
    <row r="658" spans="5:6">
      <c r="E658">
        <v>0</v>
      </c>
      <c r="F658">
        <v>0</v>
      </c>
    </row>
    <row r="659" spans="5:6">
      <c r="E659">
        <v>0</v>
      </c>
      <c r="F659">
        <v>0</v>
      </c>
    </row>
    <row r="660" spans="5:6">
      <c r="E660">
        <v>0</v>
      </c>
      <c r="F660">
        <v>0</v>
      </c>
    </row>
    <row r="661" spans="5:6">
      <c r="E661">
        <v>1</v>
      </c>
      <c r="F661">
        <v>1</v>
      </c>
    </row>
    <row r="662" spans="5:6">
      <c r="E662">
        <v>0</v>
      </c>
      <c r="F662">
        <v>0</v>
      </c>
    </row>
    <row r="663" spans="5:6">
      <c r="E663">
        <v>0</v>
      </c>
      <c r="F663">
        <v>0</v>
      </c>
    </row>
    <row r="664" spans="5:6">
      <c r="E664">
        <v>0</v>
      </c>
      <c r="F664">
        <v>0</v>
      </c>
    </row>
    <row r="665" spans="5:6">
      <c r="E665">
        <v>0</v>
      </c>
      <c r="F665">
        <v>0</v>
      </c>
    </row>
    <row r="666" spans="5:6">
      <c r="E666">
        <v>0</v>
      </c>
      <c r="F666">
        <v>0</v>
      </c>
    </row>
    <row r="667" spans="5:6">
      <c r="E667">
        <v>0</v>
      </c>
      <c r="F667">
        <v>0</v>
      </c>
    </row>
    <row r="668" spans="5:6">
      <c r="E668">
        <v>0</v>
      </c>
      <c r="F668">
        <v>0</v>
      </c>
    </row>
    <row r="669" spans="5:6">
      <c r="E669">
        <v>0</v>
      </c>
      <c r="F669">
        <v>0</v>
      </c>
    </row>
    <row r="670" spans="5:6">
      <c r="E670">
        <v>0</v>
      </c>
      <c r="F670">
        <v>0</v>
      </c>
    </row>
    <row r="671" spans="5:6">
      <c r="E671">
        <v>0</v>
      </c>
      <c r="F671">
        <v>0</v>
      </c>
    </row>
    <row r="672" spans="5:6">
      <c r="E672">
        <v>0</v>
      </c>
      <c r="F672">
        <v>0</v>
      </c>
    </row>
    <row r="673" spans="5:6">
      <c r="E673">
        <v>0</v>
      </c>
      <c r="F673">
        <v>0</v>
      </c>
    </row>
    <row r="674" spans="5:6">
      <c r="E674">
        <v>0</v>
      </c>
      <c r="F674">
        <v>0</v>
      </c>
    </row>
    <row r="675" spans="5:6">
      <c r="E675">
        <v>0</v>
      </c>
      <c r="F675">
        <v>0</v>
      </c>
    </row>
    <row r="676" spans="5:6">
      <c r="E676">
        <v>0</v>
      </c>
      <c r="F676">
        <v>0</v>
      </c>
    </row>
    <row r="677" spans="5:6">
      <c r="E677">
        <v>0</v>
      </c>
      <c r="F677">
        <v>0</v>
      </c>
    </row>
    <row r="678" spans="5:6">
      <c r="E678">
        <v>0</v>
      </c>
      <c r="F678">
        <v>0</v>
      </c>
    </row>
    <row r="679" spans="5:6">
      <c r="E679">
        <v>0</v>
      </c>
      <c r="F679">
        <v>0</v>
      </c>
    </row>
    <row r="680" spans="5:6">
      <c r="E680">
        <v>0</v>
      </c>
      <c r="F680">
        <v>0</v>
      </c>
    </row>
    <row r="681" spans="5:6">
      <c r="E681">
        <v>0</v>
      </c>
      <c r="F681">
        <v>0</v>
      </c>
    </row>
    <row r="682" spans="5:6">
      <c r="E682">
        <v>0</v>
      </c>
      <c r="F682">
        <v>0</v>
      </c>
    </row>
    <row r="683" spans="5:6">
      <c r="E683">
        <v>0</v>
      </c>
      <c r="F683">
        <v>0</v>
      </c>
    </row>
    <row r="684" spans="5:6">
      <c r="E684">
        <v>0</v>
      </c>
      <c r="F684">
        <v>0</v>
      </c>
    </row>
    <row r="685" spans="5:6">
      <c r="E685">
        <v>0</v>
      </c>
      <c r="F685">
        <v>0</v>
      </c>
    </row>
    <row r="686" spans="5:6">
      <c r="E686">
        <v>0</v>
      </c>
      <c r="F686">
        <v>0</v>
      </c>
    </row>
    <row r="687" spans="5:6">
      <c r="E687">
        <v>0</v>
      </c>
      <c r="F687">
        <v>0</v>
      </c>
    </row>
    <row r="688" spans="5:6">
      <c r="E688">
        <v>0</v>
      </c>
      <c r="F688">
        <v>0</v>
      </c>
    </row>
    <row r="689" spans="5:6">
      <c r="E689">
        <v>0</v>
      </c>
      <c r="F689">
        <v>0</v>
      </c>
    </row>
    <row r="690" spans="5:6">
      <c r="E690">
        <v>0</v>
      </c>
      <c r="F690">
        <v>1</v>
      </c>
    </row>
    <row r="691" spans="5:6">
      <c r="E691">
        <v>0</v>
      </c>
      <c r="F691">
        <v>0</v>
      </c>
    </row>
    <row r="692" spans="5:6">
      <c r="F692">
        <v>0</v>
      </c>
    </row>
    <row r="693" spans="5:6">
      <c r="F693">
        <v>0</v>
      </c>
    </row>
    <row r="694" spans="5:6">
      <c r="F694">
        <v>0</v>
      </c>
    </row>
    <row r="695" spans="5:6">
      <c r="F695">
        <v>0</v>
      </c>
    </row>
    <row r="696" spans="5:6">
      <c r="F696">
        <v>0</v>
      </c>
    </row>
    <row r="697" spans="5:6">
      <c r="F697">
        <v>0</v>
      </c>
    </row>
    <row r="698" spans="5:6">
      <c r="F698">
        <v>0</v>
      </c>
    </row>
    <row r="699" spans="5:6">
      <c r="F699">
        <v>0</v>
      </c>
    </row>
    <row r="700" spans="5:6">
      <c r="F700">
        <v>0</v>
      </c>
    </row>
    <row r="701" spans="5:6">
      <c r="F701">
        <v>0</v>
      </c>
    </row>
    <row r="702" spans="5:6">
      <c r="F702">
        <v>0</v>
      </c>
    </row>
    <row r="703" spans="5:6">
      <c r="F703">
        <v>0</v>
      </c>
    </row>
    <row r="704" spans="5:6">
      <c r="F704">
        <v>0</v>
      </c>
    </row>
    <row r="705" spans="6:6">
      <c r="F705">
        <v>0</v>
      </c>
    </row>
    <row r="706" spans="6:6">
      <c r="F706">
        <v>0</v>
      </c>
    </row>
    <row r="707" spans="6:6">
      <c r="F707">
        <v>1</v>
      </c>
    </row>
    <row r="708" spans="6:6">
      <c r="F708">
        <v>0</v>
      </c>
    </row>
    <row r="709" spans="6:6">
      <c r="F709">
        <v>0</v>
      </c>
    </row>
    <row r="710" spans="6:6">
      <c r="F710">
        <v>0</v>
      </c>
    </row>
    <row r="711" spans="6:6">
      <c r="F7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FBDD-E6AE-4D75-963D-018729CECAE7}">
  <dimension ref="A1:C13"/>
  <sheetViews>
    <sheetView topLeftCell="A2" workbookViewId="0">
      <selection activeCell="B19" sqref="B19"/>
    </sheetView>
  </sheetViews>
  <sheetFormatPr defaultRowHeight="14.4"/>
  <cols>
    <col min="1" max="1" width="21.77734375" customWidth="1"/>
    <col min="2" max="2" width="21" customWidth="1"/>
    <col min="3" max="3" width="38.44140625" customWidth="1"/>
  </cols>
  <sheetData>
    <row r="1" spans="1:3">
      <c r="A1" t="s">
        <v>1509</v>
      </c>
    </row>
    <row r="2" spans="1:3" ht="18.600000000000001" thickBot="1">
      <c r="A2" s="6" t="s">
        <v>1520</v>
      </c>
    </row>
    <row r="3" spans="1:3">
      <c r="A3" s="13"/>
      <c r="B3" s="13" t="s">
        <v>17</v>
      </c>
      <c r="C3" s="13" t="s">
        <v>723</v>
      </c>
    </row>
    <row r="4" spans="1:3">
      <c r="A4" s="11" t="s">
        <v>1510</v>
      </c>
      <c r="B4" s="11">
        <v>3.1884057971014491E-2</v>
      </c>
      <c r="C4" s="11">
        <v>7.0422535211267609E-2</v>
      </c>
    </row>
    <row r="5" spans="1:3">
      <c r="A5" s="11" t="s">
        <v>1511</v>
      </c>
      <c r="B5" s="11">
        <v>3.0912265202667173E-2</v>
      </c>
      <c r="C5" s="11">
        <v>6.5555533482985359E-2</v>
      </c>
    </row>
    <row r="6" spans="1:3">
      <c r="A6" s="11" t="s">
        <v>1512</v>
      </c>
      <c r="B6" s="11">
        <v>690</v>
      </c>
      <c r="C6" s="11">
        <v>710</v>
      </c>
    </row>
    <row r="7" spans="1:3">
      <c r="A7" s="11" t="s">
        <v>1513</v>
      </c>
      <c r="B7" s="11">
        <v>0</v>
      </c>
      <c r="C7" s="11"/>
    </row>
    <row r="8" spans="1:3">
      <c r="A8" s="11" t="s">
        <v>1514</v>
      </c>
      <c r="B8" s="11">
        <v>1259</v>
      </c>
      <c r="C8" s="11"/>
    </row>
    <row r="9" spans="1:3">
      <c r="A9" s="11" t="s">
        <v>1515</v>
      </c>
      <c r="B9" s="11">
        <v>-3.2909778014047801</v>
      </c>
      <c r="C9" s="11"/>
    </row>
    <row r="10" spans="1:3">
      <c r="A10" s="11" t="s">
        <v>1516</v>
      </c>
      <c r="B10" s="11">
        <v>5.1303097548490817E-4</v>
      </c>
      <c r="C10" s="11"/>
    </row>
    <row r="11" spans="1:3">
      <c r="A11" s="11" t="s">
        <v>1517</v>
      </c>
      <c r="B11" s="11">
        <v>1.6460648245752227</v>
      </c>
      <c r="C11" s="11"/>
    </row>
    <row r="12" spans="1:3">
      <c r="A12" s="11" t="s">
        <v>1518</v>
      </c>
      <c r="B12" s="11">
        <v>1.0260619509698163E-3</v>
      </c>
      <c r="C12" s="11"/>
    </row>
    <row r="13" spans="1:3" ht="15" thickBot="1">
      <c r="A13" s="12" t="s">
        <v>1519</v>
      </c>
      <c r="B13" s="12">
        <v>1.9618500168681485</v>
      </c>
      <c r="C1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raw_data_check</vt:lpstr>
      <vt:lpstr>missing_value</vt:lpstr>
      <vt:lpstr>group_count</vt:lpstr>
      <vt:lpstr>duplicate_check</vt:lpstr>
      <vt:lpstr>Invalid binary values</vt:lpstr>
      <vt:lpstr>outlier_check_revenue</vt:lpstr>
      <vt:lpstr>Pivot_analysis</vt:lpstr>
      <vt:lpstr>segment_distribution</vt:lpstr>
      <vt:lpstr>Hypothesis_analysis</vt:lpstr>
      <vt:lpstr>hypothesis_test_output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Roy</dc:creator>
  <cp:lastModifiedBy>Amrit Roy</cp:lastModifiedBy>
  <dcterms:created xsi:type="dcterms:W3CDTF">2026-06-25T16:20:26Z</dcterms:created>
  <dcterms:modified xsi:type="dcterms:W3CDTF">2026-06-28T06:29:02Z</dcterms:modified>
</cp:coreProperties>
</file>